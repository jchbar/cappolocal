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5195" windowHeight="8190" activeTab="2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E86" i="3" l="1"/>
  <c r="D86" i="3"/>
  <c r="C86" i="3"/>
  <c r="B86" i="3"/>
  <c r="A86" i="3"/>
  <c r="E85" i="3"/>
  <c r="D85" i="3"/>
  <c r="C85" i="3"/>
  <c r="B85" i="3"/>
  <c r="A85" i="3"/>
  <c r="E84" i="3"/>
  <c r="D84" i="3"/>
  <c r="C84" i="3"/>
  <c r="B84" i="3"/>
  <c r="A84" i="3"/>
  <c r="E83" i="3"/>
  <c r="D83" i="3"/>
  <c r="C83" i="3"/>
  <c r="B83" i="3"/>
  <c r="A83" i="3"/>
  <c r="E82" i="3"/>
  <c r="D82" i="3"/>
  <c r="C82" i="3"/>
  <c r="B82" i="3"/>
  <c r="A82" i="3"/>
  <c r="E81" i="3"/>
  <c r="D81" i="3"/>
  <c r="C81" i="3"/>
  <c r="B81" i="3"/>
  <c r="A81" i="3"/>
  <c r="E80" i="3"/>
  <c r="D80" i="3"/>
  <c r="C80" i="3"/>
  <c r="B80" i="3"/>
  <c r="A80" i="3"/>
  <c r="E79" i="3"/>
  <c r="D79" i="3"/>
  <c r="C79" i="3"/>
  <c r="B79" i="3"/>
  <c r="A79" i="3"/>
  <c r="E78" i="3"/>
  <c r="D78" i="3"/>
  <c r="C78" i="3"/>
  <c r="B78" i="3"/>
  <c r="A78" i="3"/>
  <c r="E77" i="3"/>
  <c r="D77" i="3"/>
  <c r="C77" i="3"/>
  <c r="B77" i="3"/>
  <c r="A77" i="3"/>
  <c r="E76" i="3"/>
  <c r="D76" i="3"/>
  <c r="C76" i="3"/>
  <c r="B76" i="3"/>
  <c r="A76" i="3"/>
  <c r="E75" i="3"/>
  <c r="D75" i="3"/>
  <c r="C75" i="3"/>
  <c r="B75" i="3"/>
  <c r="A75" i="3"/>
  <c r="E74" i="3"/>
  <c r="D74" i="3"/>
  <c r="C74" i="3"/>
  <c r="B74" i="3"/>
  <c r="A74" i="3"/>
  <c r="E73" i="3"/>
  <c r="D73" i="3"/>
  <c r="C73" i="3"/>
  <c r="B73" i="3"/>
  <c r="A73" i="3"/>
  <c r="E72" i="3"/>
  <c r="D72" i="3"/>
  <c r="C72" i="3"/>
  <c r="B72" i="3"/>
  <c r="A72" i="3"/>
  <c r="E71" i="3"/>
  <c r="D71" i="3"/>
  <c r="C71" i="3"/>
  <c r="B71" i="3"/>
  <c r="A71" i="3"/>
  <c r="E70" i="3"/>
  <c r="D70" i="3"/>
  <c r="C70" i="3"/>
  <c r="B70" i="3"/>
  <c r="A70" i="3"/>
  <c r="E69" i="3"/>
  <c r="D69" i="3"/>
  <c r="C69" i="3"/>
  <c r="B69" i="3"/>
  <c r="A69" i="3"/>
  <c r="E68" i="3"/>
  <c r="D68" i="3"/>
  <c r="C68" i="3"/>
  <c r="B68" i="3"/>
  <c r="A68" i="3"/>
  <c r="E67" i="3"/>
  <c r="D67" i="3"/>
  <c r="C67" i="3"/>
  <c r="B67" i="3"/>
  <c r="A67" i="3"/>
  <c r="E66" i="3"/>
  <c r="D66" i="3"/>
  <c r="C66" i="3"/>
  <c r="B66" i="3"/>
  <c r="A66" i="3"/>
  <c r="E65" i="3"/>
  <c r="D65" i="3"/>
  <c r="C65" i="3"/>
  <c r="B65" i="3"/>
  <c r="A65" i="3"/>
  <c r="E64" i="3"/>
  <c r="D64" i="3"/>
  <c r="C64" i="3"/>
  <c r="B64" i="3"/>
  <c r="A64" i="3"/>
  <c r="E63" i="3"/>
  <c r="D63" i="3"/>
  <c r="C63" i="3"/>
  <c r="B63" i="3"/>
  <c r="A63" i="3"/>
  <c r="E62" i="3"/>
  <c r="D62" i="3"/>
  <c r="C62" i="3"/>
  <c r="B62" i="3"/>
  <c r="A62" i="3"/>
  <c r="E61" i="3"/>
  <c r="D61" i="3"/>
  <c r="C61" i="3"/>
  <c r="B61" i="3"/>
  <c r="A61" i="3"/>
  <c r="E60" i="3"/>
  <c r="D60" i="3"/>
  <c r="C60" i="3"/>
  <c r="B60" i="3"/>
  <c r="A60" i="3"/>
  <c r="E59" i="3"/>
  <c r="D59" i="3"/>
  <c r="C59" i="3"/>
  <c r="B59" i="3"/>
  <c r="A59" i="3"/>
  <c r="E58" i="3"/>
  <c r="D58" i="3"/>
  <c r="C58" i="3"/>
  <c r="B58" i="3"/>
  <c r="A58" i="3"/>
  <c r="E57" i="3"/>
  <c r="D57" i="3"/>
  <c r="C57" i="3"/>
  <c r="B57" i="3"/>
  <c r="A57" i="3"/>
  <c r="E56" i="3"/>
  <c r="D56" i="3"/>
  <c r="C56" i="3"/>
  <c r="B56" i="3"/>
  <c r="A56" i="3"/>
  <c r="E55" i="3"/>
  <c r="D55" i="3"/>
  <c r="C55" i="3"/>
  <c r="B55" i="3"/>
  <c r="A55" i="3"/>
  <c r="E54" i="3"/>
  <c r="D54" i="3"/>
  <c r="C54" i="3"/>
  <c r="B54" i="3"/>
  <c r="A54" i="3"/>
  <c r="E53" i="3"/>
  <c r="D53" i="3"/>
  <c r="C53" i="3"/>
  <c r="B53" i="3"/>
  <c r="A53" i="3"/>
  <c r="E52" i="3"/>
  <c r="D52" i="3"/>
  <c r="C52" i="3"/>
  <c r="B52" i="3"/>
  <c r="A52" i="3"/>
  <c r="E51" i="3"/>
  <c r="D51" i="3"/>
  <c r="C51" i="3"/>
  <c r="B51" i="3"/>
  <c r="A51" i="3"/>
  <c r="E50" i="3"/>
  <c r="D50" i="3"/>
  <c r="C50" i="3"/>
  <c r="B50" i="3"/>
  <c r="A50" i="3"/>
  <c r="E49" i="3"/>
  <c r="D49" i="3"/>
  <c r="C49" i="3"/>
  <c r="B49" i="3"/>
  <c r="A49" i="3"/>
  <c r="E48" i="3"/>
  <c r="D48" i="3"/>
  <c r="C48" i="3"/>
  <c r="B48" i="3"/>
  <c r="A48" i="3"/>
  <c r="E47" i="3"/>
  <c r="D47" i="3"/>
  <c r="C47" i="3"/>
  <c r="B47" i="3"/>
  <c r="A47" i="3"/>
  <c r="E46" i="3"/>
  <c r="D46" i="3"/>
  <c r="C46" i="3"/>
  <c r="B46" i="3"/>
  <c r="A46" i="3"/>
  <c r="E45" i="3"/>
  <c r="D45" i="3"/>
  <c r="C45" i="3"/>
  <c r="B45" i="3"/>
  <c r="A45" i="3"/>
  <c r="E44" i="3"/>
  <c r="D44" i="3"/>
  <c r="C44" i="3"/>
  <c r="B44" i="3"/>
  <c r="A44" i="3"/>
  <c r="E43" i="3"/>
  <c r="D43" i="3"/>
  <c r="C43" i="3"/>
  <c r="B43" i="3"/>
  <c r="A43" i="3"/>
  <c r="E42" i="3"/>
  <c r="D42" i="3"/>
  <c r="C42" i="3"/>
  <c r="B42" i="3"/>
  <c r="A42" i="3"/>
  <c r="E41" i="3"/>
  <c r="D41" i="3"/>
  <c r="C41" i="3"/>
  <c r="B41" i="3"/>
  <c r="A41" i="3"/>
  <c r="E40" i="3"/>
  <c r="D40" i="3"/>
  <c r="C40" i="3"/>
  <c r="B40" i="3"/>
  <c r="A40" i="3"/>
  <c r="E39" i="3"/>
  <c r="D39" i="3"/>
  <c r="C39" i="3"/>
  <c r="B39" i="3"/>
  <c r="A39" i="3"/>
  <c r="E38" i="3"/>
  <c r="D38" i="3"/>
  <c r="C38" i="3"/>
  <c r="B38" i="3"/>
  <c r="A38" i="3"/>
  <c r="E37" i="3"/>
  <c r="D37" i="3"/>
  <c r="C37" i="3"/>
  <c r="B37" i="3"/>
  <c r="A37" i="3"/>
  <c r="E36" i="3"/>
  <c r="D36" i="3"/>
  <c r="C36" i="3"/>
  <c r="B36" i="3"/>
  <c r="A36" i="3"/>
  <c r="E35" i="3"/>
  <c r="D35" i="3"/>
  <c r="C35" i="3"/>
  <c r="B35" i="3"/>
  <c r="A35" i="3"/>
  <c r="E34" i="3"/>
  <c r="D34" i="3"/>
  <c r="C34" i="3"/>
  <c r="B34" i="3"/>
  <c r="A34" i="3"/>
  <c r="E33" i="3"/>
  <c r="D33" i="3"/>
  <c r="C33" i="3"/>
  <c r="B33" i="3"/>
  <c r="A33" i="3"/>
  <c r="E32" i="3"/>
  <c r="D32" i="3"/>
  <c r="C32" i="3"/>
  <c r="B32" i="3"/>
  <c r="A32" i="3"/>
  <c r="E31" i="3"/>
  <c r="D31" i="3"/>
  <c r="C31" i="3"/>
  <c r="B31" i="3"/>
  <c r="A31" i="3"/>
  <c r="E30" i="3"/>
  <c r="D30" i="3"/>
  <c r="C30" i="3"/>
  <c r="B30" i="3"/>
  <c r="A30" i="3"/>
  <c r="E29" i="3"/>
  <c r="D29" i="3"/>
  <c r="C29" i="3"/>
  <c r="B29" i="3"/>
  <c r="A29" i="3"/>
  <c r="E28" i="3"/>
  <c r="D28" i="3"/>
  <c r="C28" i="3"/>
  <c r="B28" i="3"/>
  <c r="A28" i="3"/>
  <c r="E27" i="3"/>
  <c r="D27" i="3"/>
  <c r="C27" i="3"/>
  <c r="B27" i="3"/>
  <c r="A27" i="3"/>
  <c r="E26" i="3"/>
  <c r="D26" i="3"/>
  <c r="C26" i="3"/>
  <c r="B26" i="3"/>
  <c r="A26" i="3"/>
  <c r="E25" i="3"/>
  <c r="D25" i="3"/>
  <c r="C25" i="3"/>
  <c r="B25" i="3"/>
  <c r="A25" i="3"/>
  <c r="E24" i="3"/>
  <c r="D24" i="3"/>
  <c r="C24" i="3"/>
  <c r="B24" i="3"/>
  <c r="A24" i="3"/>
  <c r="E23" i="3"/>
  <c r="D23" i="3"/>
  <c r="C23" i="3"/>
  <c r="B23" i="3"/>
  <c r="A23" i="3"/>
  <c r="E22" i="3"/>
  <c r="D22" i="3"/>
  <c r="C22" i="3"/>
  <c r="B22" i="3"/>
  <c r="A22" i="3"/>
  <c r="E21" i="3"/>
  <c r="D21" i="3"/>
  <c r="C21" i="3"/>
  <c r="B21" i="3"/>
  <c r="A21" i="3"/>
  <c r="E20" i="3"/>
  <c r="D20" i="3"/>
  <c r="C20" i="3"/>
  <c r="B20" i="3"/>
  <c r="A20" i="3"/>
  <c r="E19" i="3"/>
  <c r="D19" i="3"/>
  <c r="C19" i="3"/>
  <c r="B19" i="3"/>
  <c r="A19" i="3"/>
  <c r="E18" i="3"/>
  <c r="D18" i="3"/>
  <c r="C18" i="3"/>
  <c r="B18" i="3"/>
  <c r="A18" i="3"/>
  <c r="E17" i="3"/>
  <c r="D17" i="3"/>
  <c r="C17" i="3"/>
  <c r="B17" i="3"/>
  <c r="A17" i="3"/>
  <c r="E16" i="3"/>
  <c r="D16" i="3"/>
  <c r="C16" i="3"/>
  <c r="B16" i="3"/>
  <c r="A16" i="3"/>
  <c r="E15" i="3"/>
  <c r="D15" i="3"/>
  <c r="C15" i="3"/>
  <c r="B15" i="3"/>
  <c r="A15" i="3"/>
  <c r="E14" i="3"/>
  <c r="D14" i="3"/>
  <c r="C14" i="3"/>
  <c r="B14" i="3"/>
  <c r="A14" i="3"/>
  <c r="E13" i="3"/>
  <c r="D13" i="3"/>
  <c r="C13" i="3"/>
  <c r="B13" i="3"/>
  <c r="A13" i="3"/>
  <c r="E12" i="3"/>
  <c r="D12" i="3"/>
  <c r="C12" i="3"/>
  <c r="B12" i="3"/>
  <c r="A12" i="3"/>
  <c r="E11" i="3"/>
  <c r="D11" i="3"/>
  <c r="C11" i="3"/>
  <c r="B11" i="3"/>
  <c r="A11" i="3"/>
  <c r="E10" i="3"/>
  <c r="D10" i="3"/>
  <c r="C10" i="3"/>
  <c r="B10" i="3"/>
  <c r="A10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4" i="3"/>
  <c r="D4" i="3"/>
  <c r="C4" i="3"/>
  <c r="B4" i="3"/>
  <c r="A4" i="3"/>
  <c r="E3" i="3"/>
  <c r="D3" i="3"/>
  <c r="C3" i="3"/>
  <c r="B3" i="3"/>
  <c r="A3" i="3"/>
  <c r="E2" i="3"/>
  <c r="D2" i="3"/>
  <c r="C2" i="3"/>
  <c r="B2" i="3"/>
  <c r="A2" i="3"/>
  <c r="E1" i="3"/>
  <c r="D1" i="3"/>
  <c r="C1" i="3"/>
  <c r="B1" i="3"/>
  <c r="A1" i="3"/>
  <c r="F86" i="2"/>
  <c r="E86" i="2"/>
  <c r="D86" i="2"/>
  <c r="C86" i="2"/>
  <c r="B86" i="2"/>
  <c r="F85" i="2"/>
  <c r="E85" i="2"/>
  <c r="D85" i="2"/>
  <c r="C85" i="2"/>
  <c r="B85" i="2"/>
  <c r="F84" i="2"/>
  <c r="E84" i="2"/>
  <c r="D84" i="2"/>
  <c r="C84" i="2"/>
  <c r="B84" i="2"/>
  <c r="F83" i="2"/>
  <c r="E83" i="2"/>
  <c r="D83" i="2"/>
  <c r="C83" i="2"/>
  <c r="B83" i="2"/>
  <c r="F82" i="2"/>
  <c r="E82" i="2"/>
  <c r="D82" i="2"/>
  <c r="C82" i="2"/>
  <c r="B82" i="2"/>
  <c r="F81" i="2"/>
  <c r="E81" i="2"/>
  <c r="D81" i="2"/>
  <c r="C81" i="2"/>
  <c r="B81" i="2"/>
  <c r="F80" i="2"/>
  <c r="E80" i="2"/>
  <c r="D80" i="2"/>
  <c r="C80" i="2"/>
  <c r="B80" i="2"/>
  <c r="F79" i="2"/>
  <c r="E79" i="2"/>
  <c r="D79" i="2"/>
  <c r="C79" i="2"/>
  <c r="B79" i="2"/>
  <c r="F78" i="2"/>
  <c r="E78" i="2"/>
  <c r="D78" i="2"/>
  <c r="C78" i="2"/>
  <c r="B78" i="2"/>
  <c r="F77" i="2"/>
  <c r="E77" i="2"/>
  <c r="D77" i="2"/>
  <c r="C77" i="2"/>
  <c r="B77" i="2"/>
  <c r="F76" i="2"/>
  <c r="E76" i="2"/>
  <c r="D76" i="2"/>
  <c r="C76" i="2"/>
  <c r="B76" i="2"/>
  <c r="F75" i="2"/>
  <c r="E75" i="2"/>
  <c r="D75" i="2"/>
  <c r="C75" i="2"/>
  <c r="B75" i="2"/>
  <c r="F74" i="2"/>
  <c r="E74" i="2"/>
  <c r="D74" i="2"/>
  <c r="C74" i="2"/>
  <c r="B74" i="2"/>
  <c r="F73" i="2"/>
  <c r="E73" i="2"/>
  <c r="D73" i="2"/>
  <c r="C73" i="2"/>
  <c r="B73" i="2"/>
  <c r="F72" i="2"/>
  <c r="E72" i="2"/>
  <c r="D72" i="2"/>
  <c r="C72" i="2"/>
  <c r="B72" i="2"/>
  <c r="F71" i="2"/>
  <c r="E71" i="2"/>
  <c r="D71" i="2"/>
  <c r="C71" i="2"/>
  <c r="B71" i="2"/>
  <c r="F70" i="2"/>
  <c r="E70" i="2"/>
  <c r="D70" i="2"/>
  <c r="C70" i="2"/>
  <c r="B70" i="2"/>
  <c r="F69" i="2"/>
  <c r="E69" i="2"/>
  <c r="D69" i="2"/>
  <c r="C69" i="2"/>
  <c r="B69" i="2"/>
  <c r="F68" i="2"/>
  <c r="E68" i="2"/>
  <c r="D68" i="2"/>
  <c r="C68" i="2"/>
  <c r="B68" i="2"/>
  <c r="F67" i="2"/>
  <c r="E67" i="2"/>
  <c r="D67" i="2"/>
  <c r="C67" i="2"/>
  <c r="B67" i="2"/>
  <c r="F66" i="2"/>
  <c r="E66" i="2"/>
  <c r="D66" i="2"/>
  <c r="C66" i="2"/>
  <c r="B66" i="2"/>
  <c r="F65" i="2"/>
  <c r="E65" i="2"/>
  <c r="D65" i="2"/>
  <c r="C65" i="2"/>
  <c r="B65" i="2"/>
  <c r="F64" i="2"/>
  <c r="E64" i="2"/>
  <c r="D64" i="2"/>
  <c r="C64" i="2"/>
  <c r="B64" i="2"/>
  <c r="F63" i="2"/>
  <c r="E63" i="2"/>
  <c r="D63" i="2"/>
  <c r="C63" i="2"/>
  <c r="B63" i="2"/>
  <c r="F62" i="2"/>
  <c r="E62" i="2"/>
  <c r="D62" i="2"/>
  <c r="C62" i="2"/>
  <c r="B62" i="2"/>
  <c r="F61" i="2"/>
  <c r="E61" i="2"/>
  <c r="D61" i="2"/>
  <c r="C61" i="2"/>
  <c r="B61" i="2"/>
  <c r="F60" i="2"/>
  <c r="E60" i="2"/>
  <c r="D60" i="2"/>
  <c r="C60" i="2"/>
  <c r="B60" i="2"/>
  <c r="F59" i="2"/>
  <c r="E59" i="2"/>
  <c r="D59" i="2"/>
  <c r="C59" i="2"/>
  <c r="B59" i="2"/>
  <c r="F58" i="2"/>
  <c r="E58" i="2"/>
  <c r="D58" i="2"/>
  <c r="C58" i="2"/>
  <c r="B58" i="2"/>
  <c r="F57" i="2"/>
  <c r="E57" i="2"/>
  <c r="D57" i="2"/>
  <c r="C57" i="2"/>
  <c r="B57" i="2"/>
  <c r="F56" i="2"/>
  <c r="E56" i="2"/>
  <c r="D56" i="2"/>
  <c r="C56" i="2"/>
  <c r="B56" i="2"/>
  <c r="F55" i="2"/>
  <c r="E55" i="2"/>
  <c r="D55" i="2"/>
  <c r="C55" i="2"/>
  <c r="B55" i="2"/>
  <c r="F54" i="2"/>
  <c r="E54" i="2"/>
  <c r="D54" i="2"/>
  <c r="C54" i="2"/>
  <c r="B54" i="2"/>
  <c r="F53" i="2"/>
  <c r="E53" i="2"/>
  <c r="D53" i="2"/>
  <c r="C53" i="2"/>
  <c r="B53" i="2"/>
  <c r="F52" i="2"/>
  <c r="E52" i="2"/>
  <c r="D52" i="2"/>
  <c r="C52" i="2"/>
  <c r="B52" i="2"/>
  <c r="F51" i="2"/>
  <c r="E51" i="2"/>
  <c r="D51" i="2"/>
  <c r="C51" i="2"/>
  <c r="B51" i="2"/>
  <c r="F50" i="2"/>
  <c r="E50" i="2"/>
  <c r="D50" i="2"/>
  <c r="C50" i="2"/>
  <c r="B50" i="2"/>
  <c r="F49" i="2"/>
  <c r="E49" i="2"/>
  <c r="D49" i="2"/>
  <c r="C49" i="2"/>
  <c r="B49" i="2"/>
  <c r="F48" i="2"/>
  <c r="E48" i="2"/>
  <c r="D48" i="2"/>
  <c r="C48" i="2"/>
  <c r="B48" i="2"/>
  <c r="F47" i="2"/>
  <c r="E47" i="2"/>
  <c r="D47" i="2"/>
  <c r="C47" i="2"/>
  <c r="B47" i="2"/>
  <c r="F46" i="2"/>
  <c r="E46" i="2"/>
  <c r="D46" i="2"/>
  <c r="C46" i="2"/>
  <c r="B46" i="2"/>
  <c r="F45" i="2"/>
  <c r="E45" i="2"/>
  <c r="D45" i="2"/>
  <c r="C45" i="2"/>
  <c r="B45" i="2"/>
  <c r="F44" i="2"/>
  <c r="E44" i="2"/>
  <c r="D44" i="2"/>
  <c r="C44" i="2"/>
  <c r="B44" i="2"/>
  <c r="F43" i="2"/>
  <c r="E43" i="2"/>
  <c r="D43" i="2"/>
  <c r="C43" i="2"/>
  <c r="B43" i="2"/>
  <c r="F42" i="2"/>
  <c r="E42" i="2"/>
  <c r="D42" i="2"/>
  <c r="C42" i="2"/>
  <c r="B42" i="2"/>
  <c r="F41" i="2"/>
  <c r="E41" i="2"/>
  <c r="D41" i="2"/>
  <c r="C41" i="2"/>
  <c r="B41" i="2"/>
  <c r="F40" i="2"/>
  <c r="E40" i="2"/>
  <c r="D40" i="2"/>
  <c r="C40" i="2"/>
  <c r="B40" i="2"/>
  <c r="F39" i="2"/>
  <c r="E39" i="2"/>
  <c r="D39" i="2"/>
  <c r="C39" i="2"/>
  <c r="B39" i="2"/>
  <c r="F38" i="2"/>
  <c r="E38" i="2"/>
  <c r="D38" i="2"/>
  <c r="C38" i="2"/>
  <c r="B38" i="2"/>
  <c r="F37" i="2"/>
  <c r="E37" i="2"/>
  <c r="D37" i="2"/>
  <c r="C37" i="2"/>
  <c r="B37" i="2"/>
  <c r="F36" i="2"/>
  <c r="E36" i="2"/>
  <c r="D36" i="2"/>
  <c r="C36" i="2"/>
  <c r="B36" i="2"/>
  <c r="F35" i="2"/>
  <c r="E35" i="2"/>
  <c r="D35" i="2"/>
  <c r="C35" i="2"/>
  <c r="B35" i="2"/>
  <c r="F34" i="2"/>
  <c r="E34" i="2"/>
  <c r="D34" i="2"/>
  <c r="C34" i="2"/>
  <c r="B34" i="2"/>
  <c r="F33" i="2"/>
  <c r="E33" i="2"/>
  <c r="D33" i="2"/>
  <c r="C33" i="2"/>
  <c r="B33" i="2"/>
  <c r="F32" i="2"/>
  <c r="E32" i="2"/>
  <c r="D32" i="2"/>
  <c r="C32" i="2"/>
  <c r="B32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F28" i="2"/>
  <c r="E28" i="2"/>
  <c r="D28" i="2"/>
  <c r="C28" i="2"/>
  <c r="B28" i="2"/>
  <c r="F27" i="2"/>
  <c r="E27" i="2"/>
  <c r="D27" i="2"/>
  <c r="C27" i="2"/>
  <c r="B27" i="2"/>
  <c r="F26" i="2"/>
  <c r="E26" i="2"/>
  <c r="D26" i="2"/>
  <c r="C26" i="2"/>
  <c r="B26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F20" i="2"/>
  <c r="E20" i="2"/>
  <c r="D20" i="2"/>
  <c r="C20" i="2"/>
  <c r="B20" i="2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F12" i="2"/>
  <c r="E12" i="2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F4" i="2"/>
  <c r="E4" i="2"/>
  <c r="D4" i="2"/>
  <c r="C4" i="2"/>
  <c r="B4" i="2"/>
  <c r="F3" i="2"/>
  <c r="E3" i="2"/>
  <c r="D3" i="2"/>
  <c r="C3" i="2"/>
  <c r="B3" i="2"/>
  <c r="F2" i="2"/>
  <c r="E2" i="2"/>
  <c r="D2" i="2"/>
  <c r="C2" i="2"/>
  <c r="B2" i="2"/>
  <c r="F1" i="2"/>
  <c r="E1" i="2"/>
  <c r="D1" i="2"/>
  <c r="C1" i="2"/>
  <c r="B1" i="2"/>
  <c r="J10" i="1" l="1"/>
</calcChain>
</file>

<file path=xl/sharedStrings.xml><?xml version="1.0" encoding="utf-8"?>
<sst xmlns="http://schemas.openxmlformats.org/spreadsheetml/2006/main" count="279" uniqueCount="144">
  <si>
    <t xml:space="preserve">FARMACIA UNIVERSIDAD </t>
  </si>
  <si>
    <t>C A P P O - U C L A</t>
  </si>
  <si>
    <t>Carrera 21 entre Calles 12 y 13 Nro 12-13 telef. 0251-2524973/2527081</t>
  </si>
  <si>
    <t>Relación de Cobranza</t>
  </si>
  <si>
    <t xml:space="preserve"> CAPPO - UCLA</t>
  </si>
  <si>
    <t>Desde  12/11/12 Hasta: 24/11/12</t>
  </si>
  <si>
    <t>Fecha</t>
  </si>
  <si>
    <t>Apellido y Nombre</t>
  </si>
  <si>
    <t>Cédula</t>
  </si>
  <si>
    <t>Cod. Socio</t>
  </si>
  <si>
    <t>Factura</t>
  </si>
  <si>
    <t>Monto</t>
  </si>
  <si>
    <t>Dcto. Clte.</t>
  </si>
  <si>
    <t>Total Facturas</t>
  </si>
  <si>
    <t>Dcto. Cap.</t>
  </si>
  <si>
    <t>IVA</t>
  </si>
  <si>
    <t>Neto</t>
  </si>
  <si>
    <t>ALVARADO  RAFAEL</t>
  </si>
  <si>
    <t>00180</t>
  </si>
  <si>
    <t>AMARO  ANA</t>
  </si>
  <si>
    <t>00112</t>
  </si>
  <si>
    <t>APOSTOL R. CARLOS</t>
  </si>
  <si>
    <t>00151</t>
  </si>
  <si>
    <t>ARRIECHE IVONNE</t>
  </si>
  <si>
    <t>00164</t>
  </si>
  <si>
    <t>BELLO LAYA JULIO</t>
  </si>
  <si>
    <t>00222</t>
  </si>
  <si>
    <t>BULLONES  PASTOR</t>
  </si>
  <si>
    <t>00219</t>
  </si>
  <si>
    <t>BULLONES PASTOR</t>
  </si>
  <si>
    <t>CARMONA HORACIO</t>
  </si>
  <si>
    <t>00158</t>
  </si>
  <si>
    <t>CASTELLANOS VICENTE</t>
  </si>
  <si>
    <t>00304</t>
  </si>
  <si>
    <t>CASTILLO JOSE</t>
  </si>
  <si>
    <t>00361</t>
  </si>
  <si>
    <t>COLMENAREZ  JOSE</t>
  </si>
  <si>
    <t>00341</t>
  </si>
  <si>
    <t>COLMENAREZ CARLOS</t>
  </si>
  <si>
    <t>00364</t>
  </si>
  <si>
    <t>CORRALES CLARISA</t>
  </si>
  <si>
    <t>00343</t>
  </si>
  <si>
    <t>DAVILA CHACON INGRID</t>
  </si>
  <si>
    <t>00522</t>
  </si>
  <si>
    <t>DUARTE  GENRY</t>
  </si>
  <si>
    <t>00519</t>
  </si>
  <si>
    <t>DURAN  ADRIAN</t>
  </si>
  <si>
    <t>00500</t>
  </si>
  <si>
    <t>ESCALONA DIONICIO</t>
  </si>
  <si>
    <t>00624</t>
  </si>
  <si>
    <t>GARCIA RUBEN</t>
  </si>
  <si>
    <t>00727</t>
  </si>
  <si>
    <t>GOMEZ MEDINA JUAN</t>
  </si>
  <si>
    <t>00918</t>
  </si>
  <si>
    <t>GOMEZ MIRNA</t>
  </si>
  <si>
    <t>00820</t>
  </si>
  <si>
    <t>GONZALEZ GERARDO</t>
  </si>
  <si>
    <t>00936</t>
  </si>
  <si>
    <t>GRATEROL YAILILI</t>
  </si>
  <si>
    <t>00887</t>
  </si>
  <si>
    <t>GUASIMUCARO HENRY</t>
  </si>
  <si>
    <t>00889</t>
  </si>
  <si>
    <t>GUERRA  JOSE</t>
  </si>
  <si>
    <t>00869</t>
  </si>
  <si>
    <t>HUGGINS ALVES</t>
  </si>
  <si>
    <t>00911</t>
  </si>
  <si>
    <t>JIMENEZ EDGAR SOLANO</t>
  </si>
  <si>
    <t>01104</t>
  </si>
  <si>
    <t>LARA PEREZ VIANNYS</t>
  </si>
  <si>
    <t>01351</t>
  </si>
  <si>
    <t>LOPEZ ANA</t>
  </si>
  <si>
    <t>01337</t>
  </si>
  <si>
    <t>LUCENA  JOSE</t>
  </si>
  <si>
    <t>01333</t>
  </si>
  <si>
    <t>MARIN C. ANTONIO</t>
  </si>
  <si>
    <t>01513</t>
  </si>
  <si>
    <t>MARQUEZ LEAL MARCOS</t>
  </si>
  <si>
    <t>01523</t>
  </si>
  <si>
    <t>MUJICA  ARGENIS</t>
  </si>
  <si>
    <t>01489</t>
  </si>
  <si>
    <t>ORELLANA B. WILLIAM</t>
  </si>
  <si>
    <t>01617</t>
  </si>
  <si>
    <t>ORELLANA FRANCELIZA</t>
  </si>
  <si>
    <t>01985</t>
  </si>
  <si>
    <t>OSTA MARIA</t>
  </si>
  <si>
    <t>01600</t>
  </si>
  <si>
    <t>PE#A CHIRINOS JULIO</t>
  </si>
  <si>
    <t>01821</t>
  </si>
  <si>
    <t>PEÑA CHIRINOS JULIO</t>
  </si>
  <si>
    <t>PEREZ  JOSE</t>
  </si>
  <si>
    <t>01783</t>
  </si>
  <si>
    <t>PEREZ FREDIS</t>
  </si>
  <si>
    <t>01753</t>
  </si>
  <si>
    <t>PIÑA  DAISY</t>
  </si>
  <si>
    <t>01777</t>
  </si>
  <si>
    <t>QUINTERO  CARLOS</t>
  </si>
  <si>
    <t>01803</t>
  </si>
  <si>
    <t>QUINTERO  ROY</t>
  </si>
  <si>
    <t>01807</t>
  </si>
  <si>
    <t>RAMIREZ LAGUNA JEAN</t>
  </si>
  <si>
    <t>01626</t>
  </si>
  <si>
    <t>REA ALEXIS</t>
  </si>
  <si>
    <t>01925</t>
  </si>
  <si>
    <t>RIVERO  FREDDY</t>
  </si>
  <si>
    <t>01951</t>
  </si>
  <si>
    <t>RODRIGUEZ  C   EVELIO</t>
  </si>
  <si>
    <t>01954</t>
  </si>
  <si>
    <t>RODRIGUEZ LIGIA</t>
  </si>
  <si>
    <t>01987</t>
  </si>
  <si>
    <t>SALAS FELIX</t>
  </si>
  <si>
    <t>02042</t>
  </si>
  <si>
    <t>SANCHEZ SEGOBIA ERIK</t>
  </si>
  <si>
    <t>02097</t>
  </si>
  <si>
    <t>SANDOVAL  DOMITILO</t>
  </si>
  <si>
    <t>02049</t>
  </si>
  <si>
    <t>SOTO EDUARDO</t>
  </si>
  <si>
    <t>02047</t>
  </si>
  <si>
    <t>SUAREZ  NAURO</t>
  </si>
  <si>
    <t>02057</t>
  </si>
  <si>
    <t>SUAREZ JOSE</t>
  </si>
  <si>
    <t>02030</t>
  </si>
  <si>
    <t>TORO AQUILES</t>
  </si>
  <si>
    <t>02136</t>
  </si>
  <si>
    <t>TORRES PURA</t>
  </si>
  <si>
    <t>02128</t>
  </si>
  <si>
    <t>UZCATEGUI  EMILIA</t>
  </si>
  <si>
    <t>02205</t>
  </si>
  <si>
    <t>VARGAS  CARMEN</t>
  </si>
  <si>
    <t>02306</t>
  </si>
  <si>
    <t>VASQUEZ JHONNYS</t>
  </si>
  <si>
    <t>02345</t>
  </si>
  <si>
    <t>VASQUEZ U. EDIXON</t>
  </si>
  <si>
    <t>02348</t>
  </si>
  <si>
    <t>VIRGUEZ U PAUCIDES A</t>
  </si>
  <si>
    <t>02354</t>
  </si>
  <si>
    <t>VISCAYA PEDRO</t>
  </si>
  <si>
    <t>02341</t>
  </si>
  <si>
    <t>YUSTIZ JOSE</t>
  </si>
  <si>
    <t>02506</t>
  </si>
  <si>
    <t>Elaborado Por:</t>
  </si>
  <si>
    <t xml:space="preserve">Recibido: (Firma y Sello) </t>
  </si>
  <si>
    <t>Yuris Reyes</t>
  </si>
  <si>
    <t>CAPPO-UCLA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</si>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</sst>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[Red]#,##0.00"/>
    <numFmt numFmtId="165" formatCode="#,##0;[Red]#,##0"/>
    <numFmt numFmtId="166" formatCode="_([$€-2]\ * #,##0.00_);_([$€-2]\ * \(#,##0.00\);_([$€-2]\ * &quot;-&quot;??_)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i/>
      <sz val="9"/>
      <name val="Arial"/>
      <family val="2"/>
    </font>
    <font>
      <sz val="10"/>
      <color indexed="18"/>
      <name val="Arial Black"/>
      <family val="2"/>
    </font>
    <font>
      <sz val="9"/>
      <color indexed="18"/>
      <name val="Arial Narrow"/>
      <family val="2"/>
    </font>
    <font>
      <b/>
      <sz val="9"/>
      <color indexed="18"/>
      <name val="Copperplate Gothic Light"/>
      <family val="2"/>
    </font>
    <font>
      <sz val="9"/>
      <color theme="1"/>
      <name val="Agency FB"/>
      <family val="2"/>
    </font>
    <font>
      <sz val="9"/>
      <name val="Agency FB"/>
      <family val="2"/>
    </font>
    <font>
      <b/>
      <sz val="9"/>
      <name val="Agency FB"/>
      <family val="2"/>
    </font>
    <font>
      <b/>
      <sz val="8"/>
      <name val="Arial Narrow"/>
      <family val="2"/>
    </font>
    <font>
      <b/>
      <sz val="9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166" fontId="1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1"/>
    <xf numFmtId="0" fontId="2" fillId="0" borderId="0" xfId="1" applyFont="1" applyAlignment="1"/>
    <xf numFmtId="164" fontId="5" fillId="0" borderId="0" xfId="1" applyNumberFormat="1" applyFont="1" applyAlignment="1">
      <alignment horizontal="right"/>
    </xf>
    <xf numFmtId="164" fontId="5" fillId="0" borderId="0" xfId="1" applyNumberFormat="1" applyFont="1" applyBorder="1"/>
    <xf numFmtId="164" fontId="2" fillId="0" borderId="0" xfId="1" applyNumberFormat="1" applyFont="1" applyAlignment="1">
      <alignment horizontal="right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right"/>
    </xf>
    <xf numFmtId="164" fontId="5" fillId="0" borderId="0" xfId="1" applyNumberFormat="1" applyFont="1" applyBorder="1" applyAlignment="1"/>
    <xf numFmtId="164" fontId="2" fillId="0" borderId="0" xfId="1" applyNumberFormat="1" applyFont="1"/>
    <xf numFmtId="165" fontId="5" fillId="0" borderId="7" xfId="1" applyNumberFormat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164" fontId="5" fillId="0" borderId="7" xfId="1" applyNumberFormat="1" applyFont="1" applyBorder="1" applyAlignment="1">
      <alignment horizontal="center"/>
    </xf>
    <xf numFmtId="164" fontId="5" fillId="0" borderId="0" xfId="1" applyNumberFormat="1" applyFont="1" applyBorder="1" applyAlignment="1">
      <alignment horizontal="right"/>
    </xf>
    <xf numFmtId="164" fontId="10" fillId="0" borderId="7" xfId="0" applyNumberFormat="1" applyFont="1" applyBorder="1"/>
    <xf numFmtId="165" fontId="11" fillId="0" borderId="7" xfId="1" applyNumberFormat="1" applyFont="1" applyBorder="1" applyAlignment="1">
      <alignment horizontal="right"/>
    </xf>
    <xf numFmtId="49" fontId="11" fillId="0" borderId="7" xfId="1" applyNumberFormat="1" applyFont="1" applyBorder="1" applyAlignment="1">
      <alignment horizontal="center"/>
    </xf>
    <xf numFmtId="164" fontId="11" fillId="0" borderId="7" xfId="1" applyNumberFormat="1" applyFont="1" applyBorder="1" applyAlignment="1">
      <alignment horizontal="right"/>
    </xf>
    <xf numFmtId="0" fontId="10" fillId="0" borderId="7" xfId="0" applyFont="1" applyBorder="1"/>
    <xf numFmtId="14" fontId="11" fillId="0" borderId="7" xfId="0" applyNumberFormat="1" applyFont="1" applyBorder="1"/>
    <xf numFmtId="49" fontId="10" fillId="0" borderId="7" xfId="0" applyNumberFormat="1" applyFont="1" applyBorder="1" applyAlignment="1">
      <alignment horizontal="center"/>
    </xf>
    <xf numFmtId="164" fontId="12" fillId="0" borderId="0" xfId="1" applyNumberFormat="1" applyFont="1" applyBorder="1"/>
    <xf numFmtId="164" fontId="12" fillId="0" borderId="0" xfId="1" applyNumberFormat="1" applyFont="1" applyFill="1" applyBorder="1" applyAlignment="1">
      <alignment horizontal="right"/>
    </xf>
    <xf numFmtId="164" fontId="12" fillId="0" borderId="0" xfId="1" applyNumberFormat="1" applyFont="1" applyBorder="1" applyAlignment="1">
      <alignment horizontal="right"/>
    </xf>
    <xf numFmtId="164" fontId="11" fillId="0" borderId="9" xfId="0" applyNumberFormat="1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vertical="center"/>
    </xf>
    <xf numFmtId="164" fontId="13" fillId="0" borderId="7" xfId="1" applyNumberFormat="1" applyFont="1" applyBorder="1" applyAlignment="1">
      <alignment horizontal="center"/>
    </xf>
    <xf numFmtId="0" fontId="1" fillId="0" borderId="0" xfId="1" applyBorder="1"/>
    <xf numFmtId="164" fontId="5" fillId="0" borderId="0" xfId="1" applyNumberFormat="1" applyFont="1" applyBorder="1" applyAlignment="1">
      <alignment horizontal="center"/>
    </xf>
    <xf numFmtId="164" fontId="14" fillId="0" borderId="0" xfId="0" applyNumberFormat="1" applyFont="1" applyBorder="1"/>
    <xf numFmtId="0" fontId="10" fillId="0" borderId="0" xfId="0" applyFont="1"/>
    <xf numFmtId="164" fontId="12" fillId="0" borderId="9" xfId="1" applyNumberFormat="1" applyFont="1" applyFill="1" applyBorder="1" applyAlignment="1">
      <alignment horizontal="right"/>
    </xf>
    <xf numFmtId="14" fontId="11" fillId="0" borderId="7" xfId="0" applyNumberFormat="1" applyFont="1" applyBorder="1" applyAlignment="1">
      <alignment horizontal="left"/>
    </xf>
    <xf numFmtId="0" fontId="4" fillId="0" borderId="1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165" fontId="4" fillId="0" borderId="10" xfId="1" applyNumberFormat="1" applyFont="1" applyBorder="1" applyAlignment="1">
      <alignment horizontal="center"/>
    </xf>
    <xf numFmtId="165" fontId="4" fillId="0" borderId="2" xfId="1" applyNumberFormat="1" applyFont="1" applyBorder="1" applyAlignment="1">
      <alignment horizontal="center"/>
    </xf>
    <xf numFmtId="49" fontId="6" fillId="0" borderId="0" xfId="1" applyNumberFormat="1" applyFont="1" applyAlignment="1">
      <alignment horizontal="center"/>
    </xf>
    <xf numFmtId="164" fontId="11" fillId="0" borderId="12" xfId="0" applyNumberFormat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165" fontId="2" fillId="0" borderId="5" xfId="1" applyNumberFormat="1" applyFont="1" applyBorder="1" applyAlignment="1">
      <alignment horizontal="center"/>
    </xf>
    <xf numFmtId="165" fontId="2" fillId="0" borderId="11" xfId="1" applyNumberFormat="1" applyFont="1" applyBorder="1" applyAlignment="1">
      <alignment horizontal="center"/>
    </xf>
    <xf numFmtId="165" fontId="2" fillId="0" borderId="6" xfId="1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165" fontId="2" fillId="0" borderId="8" xfId="1" applyNumberFormat="1" applyFont="1" applyBorder="1" applyAlignment="1">
      <alignment horizontal="center"/>
    </xf>
    <xf numFmtId="165" fontId="2" fillId="0" borderId="4" xfId="1" applyNumberFormat="1" applyFont="1" applyBorder="1" applyAlignment="1">
      <alignment horizontal="center"/>
    </xf>
    <xf numFmtId="0" fontId="6" fillId="0" borderId="0" xfId="1" applyFont="1" applyBorder="1" applyAlignment="1">
      <alignment horizontal="center"/>
    </xf>
    <xf numFmtId="164" fontId="5" fillId="0" borderId="7" xfId="1" applyNumberFormat="1" applyFont="1" applyFill="1" applyBorder="1" applyAlignment="1">
      <alignment horizontal="center"/>
    </xf>
    <xf numFmtId="0" fontId="7" fillId="0" borderId="0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165" fontId="5" fillId="0" borderId="10" xfId="1" applyNumberFormat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</cellXfs>
  <cellStyles count="3">
    <cellStyle name="Euro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04"/>
  <sheetViews>
    <sheetView topLeftCell="A72" workbookViewId="0">
      <selection activeCell="G96" sqref="G96"/>
    </sheetView>
  </sheetViews>
  <sheetFormatPr baseColWidth="10" defaultRowHeight="15" x14ac:dyDescent="0.25"/>
  <sheetData>
    <row r="3" spans="1:12" ht="15.75" x14ac:dyDescent="0.3">
      <c r="A3" s="55" t="s">
        <v>0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2" x14ac:dyDescent="0.25">
      <c r="A4" s="56" t="s">
        <v>1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</row>
    <row r="5" spans="1:12" x14ac:dyDescent="0.25">
      <c r="A5" s="57" t="s">
        <v>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</row>
    <row r="6" spans="1:12" x14ac:dyDescent="0.25">
      <c r="A6" s="58" t="s">
        <v>3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</row>
    <row r="7" spans="1:12" x14ac:dyDescent="0.25">
      <c r="A7" s="39" t="s">
        <v>4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</row>
    <row r="8" spans="1:12" x14ac:dyDescent="0.25">
      <c r="A8" s="53" t="s">
        <v>5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</row>
    <row r="9" spans="1:12" x14ac:dyDescent="0.25">
      <c r="A9" s="11" t="s">
        <v>6</v>
      </c>
      <c r="B9" s="11" t="s">
        <v>7</v>
      </c>
      <c r="C9" s="10" t="s">
        <v>8</v>
      </c>
      <c r="D9" s="10" t="s">
        <v>9</v>
      </c>
      <c r="E9" s="11" t="s">
        <v>10</v>
      </c>
      <c r="F9" s="12" t="s">
        <v>11</v>
      </c>
      <c r="G9" s="12" t="s">
        <v>12</v>
      </c>
      <c r="H9" s="54" t="s">
        <v>13</v>
      </c>
      <c r="I9" s="54"/>
      <c r="J9" s="26" t="s">
        <v>14</v>
      </c>
      <c r="K9" s="12" t="s">
        <v>15</v>
      </c>
      <c r="L9" s="12" t="s">
        <v>16</v>
      </c>
    </row>
    <row r="10" spans="1:12" x14ac:dyDescent="0.25">
      <c r="A10" s="19">
        <v>41225</v>
      </c>
      <c r="B10" s="18" t="s">
        <v>17</v>
      </c>
      <c r="C10" s="15">
        <v>10126656</v>
      </c>
      <c r="D10" s="16" t="s">
        <v>18</v>
      </c>
      <c r="E10" s="20">
        <v>519914</v>
      </c>
      <c r="F10" s="14">
        <v>480.35</v>
      </c>
      <c r="G10" s="14">
        <v>96.07</v>
      </c>
      <c r="H10" s="14">
        <v>384.28</v>
      </c>
      <c r="I10" s="25"/>
      <c r="J10" s="17">
        <f>H10*5%</f>
        <v>19.213999999999999</v>
      </c>
      <c r="K10" s="14">
        <v>0</v>
      </c>
      <c r="L10" s="17">
        <v>365.06599999999997</v>
      </c>
    </row>
    <row r="11" spans="1:12" x14ac:dyDescent="0.25">
      <c r="A11" s="19">
        <v>41225</v>
      </c>
      <c r="B11" s="18" t="s">
        <v>19</v>
      </c>
      <c r="C11" s="15">
        <v>7374616</v>
      </c>
      <c r="D11" s="16" t="s">
        <v>20</v>
      </c>
      <c r="E11" s="20">
        <v>519854</v>
      </c>
      <c r="F11" s="14">
        <v>592</v>
      </c>
      <c r="G11" s="14">
        <v>118.4</v>
      </c>
      <c r="H11" s="14">
        <v>473.6</v>
      </c>
      <c r="I11" s="40">
        <v>638.40000000000009</v>
      </c>
      <c r="J11" s="17">
        <v>23.680000000000003</v>
      </c>
      <c r="K11" s="14">
        <v>0</v>
      </c>
      <c r="L11" s="17">
        <v>449.92</v>
      </c>
    </row>
    <row r="12" spans="1:12" x14ac:dyDescent="0.25">
      <c r="A12" s="19">
        <v>41225</v>
      </c>
      <c r="B12" s="18" t="s">
        <v>19</v>
      </c>
      <c r="C12" s="15">
        <v>7374616</v>
      </c>
      <c r="D12" s="16" t="s">
        <v>20</v>
      </c>
      <c r="E12" s="20">
        <v>519855</v>
      </c>
      <c r="F12" s="14">
        <v>206</v>
      </c>
      <c r="G12" s="14">
        <v>41.2</v>
      </c>
      <c r="H12" s="14">
        <v>164.8</v>
      </c>
      <c r="I12" s="40"/>
      <c r="J12" s="17">
        <v>8.24</v>
      </c>
      <c r="K12" s="14">
        <v>0</v>
      </c>
      <c r="L12" s="17">
        <v>156.56</v>
      </c>
    </row>
    <row r="13" spans="1:12" x14ac:dyDescent="0.25">
      <c r="A13" s="19">
        <v>41225</v>
      </c>
      <c r="B13" s="18" t="s">
        <v>21</v>
      </c>
      <c r="C13" s="15">
        <v>10849906</v>
      </c>
      <c r="D13" s="16" t="s">
        <v>22</v>
      </c>
      <c r="E13" s="20">
        <v>520280</v>
      </c>
      <c r="F13" s="14">
        <v>466.43</v>
      </c>
      <c r="G13" s="14">
        <v>70.489999999999995</v>
      </c>
      <c r="H13" s="14">
        <v>395.94</v>
      </c>
      <c r="I13" s="24"/>
      <c r="J13" s="17">
        <v>19.797000000000001</v>
      </c>
      <c r="K13" s="14">
        <v>0</v>
      </c>
      <c r="L13" s="17">
        <v>376.14299999999997</v>
      </c>
    </row>
    <row r="14" spans="1:12" x14ac:dyDescent="0.25">
      <c r="A14" s="19">
        <v>41225</v>
      </c>
      <c r="B14" s="18" t="s">
        <v>23</v>
      </c>
      <c r="C14" s="15">
        <v>9553047</v>
      </c>
      <c r="D14" s="16" t="s">
        <v>24</v>
      </c>
      <c r="E14" s="20">
        <v>520080</v>
      </c>
      <c r="F14" s="14">
        <v>332.3</v>
      </c>
      <c r="G14" s="14">
        <v>63.17</v>
      </c>
      <c r="H14" s="14">
        <v>276.91000000000003</v>
      </c>
      <c r="I14" s="40">
        <v>1170.9099999999999</v>
      </c>
      <c r="J14" s="17">
        <v>13.845500000000001</v>
      </c>
      <c r="K14" s="14">
        <v>7.78</v>
      </c>
      <c r="L14" s="17">
        <v>263.06450000000001</v>
      </c>
    </row>
    <row r="15" spans="1:12" x14ac:dyDescent="0.25">
      <c r="A15" s="19">
        <v>41225</v>
      </c>
      <c r="B15" s="18" t="s">
        <v>23</v>
      </c>
      <c r="C15" s="15">
        <v>9553047</v>
      </c>
      <c r="D15" s="16" t="s">
        <v>24</v>
      </c>
      <c r="E15" s="20">
        <v>520081</v>
      </c>
      <c r="F15" s="14">
        <v>159</v>
      </c>
      <c r="G15" s="14">
        <v>31.8</v>
      </c>
      <c r="H15" s="14">
        <v>127.2</v>
      </c>
      <c r="I15" s="40"/>
      <c r="J15" s="17">
        <v>6.36</v>
      </c>
      <c r="K15" s="14">
        <v>0</v>
      </c>
      <c r="L15" s="17">
        <v>120.84</v>
      </c>
    </row>
    <row r="16" spans="1:12" x14ac:dyDescent="0.25">
      <c r="A16" s="19">
        <v>41225</v>
      </c>
      <c r="B16" s="18" t="s">
        <v>23</v>
      </c>
      <c r="C16" s="15">
        <v>9553047</v>
      </c>
      <c r="D16" s="16" t="s">
        <v>24</v>
      </c>
      <c r="E16" s="20">
        <v>520354</v>
      </c>
      <c r="F16" s="14">
        <v>412.18</v>
      </c>
      <c r="G16" s="14">
        <v>78.400000000000006</v>
      </c>
      <c r="H16" s="14">
        <v>333.78</v>
      </c>
      <c r="I16" s="40"/>
      <c r="J16" s="17">
        <v>16.689</v>
      </c>
      <c r="K16" s="14">
        <v>0</v>
      </c>
      <c r="L16" s="17">
        <v>317.09099999999995</v>
      </c>
    </row>
    <row r="17" spans="1:12" x14ac:dyDescent="0.25">
      <c r="A17" s="19">
        <v>41225</v>
      </c>
      <c r="B17" s="18" t="s">
        <v>23</v>
      </c>
      <c r="C17" s="15">
        <v>9553047</v>
      </c>
      <c r="D17" s="16" t="s">
        <v>24</v>
      </c>
      <c r="E17" s="20">
        <v>520355</v>
      </c>
      <c r="F17" s="14">
        <v>536.02</v>
      </c>
      <c r="G17" s="14">
        <v>103</v>
      </c>
      <c r="H17" s="14">
        <v>433.02</v>
      </c>
      <c r="I17" s="40"/>
      <c r="J17" s="17">
        <v>21.651</v>
      </c>
      <c r="K17" s="14">
        <v>0</v>
      </c>
      <c r="L17" s="17">
        <v>411.36899999999997</v>
      </c>
    </row>
    <row r="18" spans="1:12" x14ac:dyDescent="0.25">
      <c r="A18" s="19">
        <v>41225</v>
      </c>
      <c r="B18" s="18" t="s">
        <v>25</v>
      </c>
      <c r="C18" s="15">
        <v>7344290</v>
      </c>
      <c r="D18" s="16" t="s">
        <v>26</v>
      </c>
      <c r="E18" s="20">
        <v>520402</v>
      </c>
      <c r="F18" s="14">
        <v>148.24</v>
      </c>
      <c r="G18" s="14">
        <v>22.4</v>
      </c>
      <c r="H18" s="14">
        <v>130.19</v>
      </c>
      <c r="I18" s="24"/>
      <c r="J18" s="17">
        <v>6.5095000000000001</v>
      </c>
      <c r="K18" s="14">
        <v>4.3499999999999996</v>
      </c>
      <c r="L18" s="17">
        <v>123.68049999999999</v>
      </c>
    </row>
    <row r="19" spans="1:12" x14ac:dyDescent="0.25">
      <c r="A19" s="19">
        <v>41225</v>
      </c>
      <c r="B19" s="18" t="s">
        <v>27</v>
      </c>
      <c r="C19" s="15">
        <v>3878006</v>
      </c>
      <c r="D19" s="16" t="s">
        <v>28</v>
      </c>
      <c r="E19" s="20">
        <v>520139</v>
      </c>
      <c r="F19" s="14">
        <v>314.97000000000003</v>
      </c>
      <c r="G19" s="14">
        <v>42.99</v>
      </c>
      <c r="H19" s="14">
        <v>271.98</v>
      </c>
      <c r="I19" s="40">
        <v>480.01</v>
      </c>
      <c r="J19" s="17">
        <v>13.599000000000002</v>
      </c>
      <c r="K19" s="14">
        <v>0</v>
      </c>
      <c r="L19" s="17">
        <v>258.38100000000003</v>
      </c>
    </row>
    <row r="20" spans="1:12" x14ac:dyDescent="0.25">
      <c r="A20" s="19">
        <v>41225</v>
      </c>
      <c r="B20" s="18" t="s">
        <v>29</v>
      </c>
      <c r="C20" s="15">
        <v>3878006</v>
      </c>
      <c r="D20" s="16" t="s">
        <v>28</v>
      </c>
      <c r="E20" s="20">
        <v>520262</v>
      </c>
      <c r="F20" s="14">
        <v>199.33</v>
      </c>
      <c r="G20" s="14">
        <v>0</v>
      </c>
      <c r="H20" s="14">
        <v>208.03</v>
      </c>
      <c r="I20" s="40"/>
      <c r="J20" s="17">
        <v>0</v>
      </c>
      <c r="K20" s="14">
        <v>8.6999999999999993</v>
      </c>
      <c r="L20" s="17">
        <v>208.03</v>
      </c>
    </row>
    <row r="21" spans="1:12" x14ac:dyDescent="0.25">
      <c r="A21" s="19">
        <v>41225</v>
      </c>
      <c r="B21" s="18" t="s">
        <v>30</v>
      </c>
      <c r="C21" s="15">
        <v>9620720</v>
      </c>
      <c r="D21" s="16" t="s">
        <v>31</v>
      </c>
      <c r="E21" s="20">
        <v>519922</v>
      </c>
      <c r="F21" s="14">
        <v>671.71</v>
      </c>
      <c r="G21" s="14">
        <v>134.35</v>
      </c>
      <c r="H21" s="14">
        <v>537.36</v>
      </c>
      <c r="I21" s="31"/>
      <c r="J21" s="17">
        <v>26.868000000000002</v>
      </c>
      <c r="K21" s="14">
        <v>0</v>
      </c>
      <c r="L21" s="17">
        <v>510.49200000000002</v>
      </c>
    </row>
    <row r="22" spans="1:12" x14ac:dyDescent="0.25">
      <c r="A22" s="19">
        <v>41225</v>
      </c>
      <c r="B22" s="18" t="s">
        <v>32</v>
      </c>
      <c r="C22" s="15">
        <v>12314254</v>
      </c>
      <c r="D22" s="16" t="s">
        <v>33</v>
      </c>
      <c r="E22" s="20">
        <v>519930</v>
      </c>
      <c r="F22" s="14">
        <v>496</v>
      </c>
      <c r="G22" s="14">
        <v>99.2</v>
      </c>
      <c r="H22" s="14">
        <v>396.8</v>
      </c>
      <c r="I22" s="24"/>
      <c r="J22" s="17">
        <v>19.840000000000003</v>
      </c>
      <c r="K22" s="14">
        <v>0</v>
      </c>
      <c r="L22" s="17">
        <v>376.96000000000004</v>
      </c>
    </row>
    <row r="23" spans="1:12" x14ac:dyDescent="0.25">
      <c r="A23" s="19">
        <v>41225</v>
      </c>
      <c r="B23" s="18" t="s">
        <v>34</v>
      </c>
      <c r="C23" s="15">
        <v>10846532</v>
      </c>
      <c r="D23" s="16" t="s">
        <v>35</v>
      </c>
      <c r="E23" s="20">
        <v>519846</v>
      </c>
      <c r="F23" s="14">
        <v>1490</v>
      </c>
      <c r="G23" s="14">
        <v>298</v>
      </c>
      <c r="H23" s="14">
        <v>1192</v>
      </c>
      <c r="I23" s="24"/>
      <c r="J23" s="17">
        <v>59.6</v>
      </c>
      <c r="K23" s="14">
        <v>0</v>
      </c>
      <c r="L23" s="17">
        <v>1132.4000000000001</v>
      </c>
    </row>
    <row r="24" spans="1:12" x14ac:dyDescent="0.25">
      <c r="A24" s="19">
        <v>41225</v>
      </c>
      <c r="B24" s="18" t="s">
        <v>36</v>
      </c>
      <c r="C24" s="15">
        <v>4375498</v>
      </c>
      <c r="D24" s="16" t="s">
        <v>37</v>
      </c>
      <c r="E24" s="20">
        <v>519963</v>
      </c>
      <c r="F24" s="14">
        <v>228</v>
      </c>
      <c r="G24" s="14">
        <v>45.6</v>
      </c>
      <c r="H24" s="14">
        <v>182.4</v>
      </c>
      <c r="I24" s="31"/>
      <c r="J24" s="17">
        <v>9.120000000000001</v>
      </c>
      <c r="K24" s="14">
        <v>0</v>
      </c>
      <c r="L24" s="17">
        <v>173.28</v>
      </c>
    </row>
    <row r="25" spans="1:12" x14ac:dyDescent="0.25">
      <c r="A25" s="19">
        <v>41225</v>
      </c>
      <c r="B25" s="18" t="s">
        <v>38</v>
      </c>
      <c r="C25" s="15">
        <v>7316059</v>
      </c>
      <c r="D25" s="16" t="s">
        <v>39</v>
      </c>
      <c r="E25" s="20">
        <v>520344</v>
      </c>
      <c r="F25" s="14">
        <v>123.27</v>
      </c>
      <c r="G25" s="14">
        <v>22.88</v>
      </c>
      <c r="H25" s="14">
        <v>100.39</v>
      </c>
      <c r="I25" s="24"/>
      <c r="J25" s="17">
        <v>5.0195000000000007</v>
      </c>
      <c r="K25" s="14">
        <v>0</v>
      </c>
      <c r="L25" s="17">
        <v>95.370499999999993</v>
      </c>
    </row>
    <row r="26" spans="1:12" x14ac:dyDescent="0.25">
      <c r="A26" s="19">
        <v>41225</v>
      </c>
      <c r="B26" s="18" t="s">
        <v>40</v>
      </c>
      <c r="C26" s="15">
        <v>9609337</v>
      </c>
      <c r="D26" s="16" t="s">
        <v>41</v>
      </c>
      <c r="E26" s="20">
        <v>519939</v>
      </c>
      <c r="F26" s="14">
        <v>861</v>
      </c>
      <c r="G26" s="14">
        <v>172.2</v>
      </c>
      <c r="H26" s="14">
        <v>688.8</v>
      </c>
      <c r="I26" s="31"/>
      <c r="J26" s="17">
        <v>34.44</v>
      </c>
      <c r="K26" s="14">
        <v>0</v>
      </c>
      <c r="L26" s="17">
        <v>654.3599999999999</v>
      </c>
    </row>
    <row r="27" spans="1:12" x14ac:dyDescent="0.25">
      <c r="A27" s="19">
        <v>41225</v>
      </c>
      <c r="B27" s="18" t="s">
        <v>42</v>
      </c>
      <c r="C27" s="15">
        <v>9211039</v>
      </c>
      <c r="D27" s="16" t="s">
        <v>43</v>
      </c>
      <c r="E27" s="20">
        <v>520049</v>
      </c>
      <c r="F27" s="14">
        <v>150</v>
      </c>
      <c r="G27" s="14">
        <v>30</v>
      </c>
      <c r="H27" s="14">
        <v>120</v>
      </c>
      <c r="I27" s="25"/>
      <c r="J27" s="17">
        <v>6</v>
      </c>
      <c r="K27" s="14">
        <v>0</v>
      </c>
      <c r="L27" s="17">
        <v>114</v>
      </c>
    </row>
    <row r="28" spans="1:12" x14ac:dyDescent="0.25">
      <c r="A28" s="19">
        <v>41226</v>
      </c>
      <c r="B28" s="18" t="s">
        <v>44</v>
      </c>
      <c r="C28" s="15">
        <v>10846474</v>
      </c>
      <c r="D28" s="16" t="s">
        <v>45</v>
      </c>
      <c r="E28" s="20">
        <v>519874</v>
      </c>
      <c r="F28" s="14">
        <v>379.66</v>
      </c>
      <c r="G28" s="14">
        <v>72.040000000000006</v>
      </c>
      <c r="H28" s="14">
        <v>307.62</v>
      </c>
      <c r="I28" s="40">
        <v>353.76</v>
      </c>
      <c r="J28" s="17">
        <v>15.381</v>
      </c>
      <c r="K28" s="14">
        <v>0</v>
      </c>
      <c r="L28" s="17">
        <v>292.23900000000003</v>
      </c>
    </row>
    <row r="29" spans="1:12" x14ac:dyDescent="0.25">
      <c r="A29" s="19">
        <v>41226</v>
      </c>
      <c r="B29" s="18" t="s">
        <v>44</v>
      </c>
      <c r="C29" s="15">
        <v>10846474</v>
      </c>
      <c r="D29" s="16" t="s">
        <v>45</v>
      </c>
      <c r="E29" s="20">
        <v>519875</v>
      </c>
      <c r="F29" s="14">
        <v>56.14</v>
      </c>
      <c r="G29" s="14">
        <v>10</v>
      </c>
      <c r="H29" s="14">
        <v>46.14</v>
      </c>
      <c r="I29" s="40"/>
      <c r="J29" s="17">
        <v>2.3069999999999999</v>
      </c>
      <c r="K29" s="14">
        <v>0</v>
      </c>
      <c r="L29" s="17">
        <v>43.832999999999998</v>
      </c>
    </row>
    <row r="30" spans="1:12" x14ac:dyDescent="0.25">
      <c r="A30" s="19">
        <v>41226</v>
      </c>
      <c r="B30" s="18" t="s">
        <v>46</v>
      </c>
      <c r="C30" s="15">
        <v>4727740</v>
      </c>
      <c r="D30" s="16" t="s">
        <v>47</v>
      </c>
      <c r="E30" s="20">
        <v>520002</v>
      </c>
      <c r="F30" s="14">
        <v>66.5</v>
      </c>
      <c r="G30" s="14">
        <v>13.3</v>
      </c>
      <c r="H30" s="14">
        <v>53.2</v>
      </c>
      <c r="I30" s="25"/>
      <c r="J30" s="17">
        <v>2.66</v>
      </c>
      <c r="K30" s="14">
        <v>0</v>
      </c>
      <c r="L30" s="17">
        <v>50.540000000000006</v>
      </c>
    </row>
    <row r="31" spans="1:12" x14ac:dyDescent="0.25">
      <c r="A31" s="19">
        <v>41226</v>
      </c>
      <c r="B31" s="18" t="s">
        <v>48</v>
      </c>
      <c r="C31" s="15">
        <v>9620701</v>
      </c>
      <c r="D31" s="16" t="s">
        <v>49</v>
      </c>
      <c r="E31" s="20">
        <v>519829</v>
      </c>
      <c r="F31" s="14">
        <v>648</v>
      </c>
      <c r="G31" s="14">
        <v>129.6</v>
      </c>
      <c r="H31" s="14">
        <v>518.4</v>
      </c>
      <c r="I31" s="40">
        <v>670.15</v>
      </c>
      <c r="J31" s="17">
        <v>25.92</v>
      </c>
      <c r="K31" s="14">
        <v>0</v>
      </c>
      <c r="L31" s="17">
        <v>492.47999999999996</v>
      </c>
    </row>
    <row r="32" spans="1:12" x14ac:dyDescent="0.25">
      <c r="A32" s="19">
        <v>41226</v>
      </c>
      <c r="B32" s="18" t="s">
        <v>48</v>
      </c>
      <c r="C32" s="15">
        <v>9620701</v>
      </c>
      <c r="D32" s="16" t="s">
        <v>49</v>
      </c>
      <c r="E32" s="20">
        <v>519830</v>
      </c>
      <c r="F32" s="14">
        <v>174.35</v>
      </c>
      <c r="G32" s="14">
        <v>22.6</v>
      </c>
      <c r="H32" s="14">
        <v>151.75</v>
      </c>
      <c r="I32" s="40"/>
      <c r="J32" s="17">
        <v>7.5875000000000004</v>
      </c>
      <c r="K32" s="14">
        <v>0</v>
      </c>
      <c r="L32" s="17">
        <v>144.16249999999999</v>
      </c>
    </row>
    <row r="33" spans="1:12" x14ac:dyDescent="0.25">
      <c r="A33" s="19">
        <v>41227</v>
      </c>
      <c r="B33" s="18" t="s">
        <v>50</v>
      </c>
      <c r="C33" s="15">
        <v>13527636</v>
      </c>
      <c r="D33" s="16" t="s">
        <v>51</v>
      </c>
      <c r="E33" s="20">
        <v>520159</v>
      </c>
      <c r="F33" s="14">
        <v>592</v>
      </c>
      <c r="G33" s="14">
        <v>118.4</v>
      </c>
      <c r="H33" s="14">
        <v>473.6</v>
      </c>
      <c r="I33" s="40">
        <v>523.6</v>
      </c>
      <c r="J33" s="17">
        <v>23.680000000000003</v>
      </c>
      <c r="K33" s="14">
        <v>0</v>
      </c>
      <c r="L33" s="17">
        <v>449.92</v>
      </c>
    </row>
    <row r="34" spans="1:12" x14ac:dyDescent="0.25">
      <c r="A34" s="19">
        <v>41227</v>
      </c>
      <c r="B34" s="18" t="s">
        <v>50</v>
      </c>
      <c r="C34" s="15">
        <v>13527636</v>
      </c>
      <c r="D34" s="16" t="s">
        <v>51</v>
      </c>
      <c r="E34" s="20">
        <v>520160</v>
      </c>
      <c r="F34" s="14">
        <v>50</v>
      </c>
      <c r="G34" s="14">
        <v>0</v>
      </c>
      <c r="H34" s="14">
        <v>50</v>
      </c>
      <c r="I34" s="40"/>
      <c r="J34" s="17">
        <v>0</v>
      </c>
      <c r="K34" s="14">
        <v>0</v>
      </c>
      <c r="L34" s="17">
        <v>50</v>
      </c>
    </row>
    <row r="35" spans="1:12" x14ac:dyDescent="0.25">
      <c r="A35" s="19">
        <v>41227</v>
      </c>
      <c r="B35" s="18" t="s">
        <v>52</v>
      </c>
      <c r="C35" s="15">
        <v>12704927</v>
      </c>
      <c r="D35" s="16" t="s">
        <v>53</v>
      </c>
      <c r="E35" s="20">
        <v>520236</v>
      </c>
      <c r="F35" s="14">
        <v>50</v>
      </c>
      <c r="G35" s="14">
        <v>0</v>
      </c>
      <c r="H35" s="14">
        <v>50</v>
      </c>
      <c r="I35" s="24"/>
      <c r="J35" s="17">
        <v>0</v>
      </c>
      <c r="K35" s="14">
        <v>0</v>
      </c>
      <c r="L35" s="17">
        <v>50</v>
      </c>
    </row>
    <row r="36" spans="1:12" x14ac:dyDescent="0.25">
      <c r="A36" s="19">
        <v>41227</v>
      </c>
      <c r="B36" s="18" t="s">
        <v>54</v>
      </c>
      <c r="C36" s="15">
        <v>9552709</v>
      </c>
      <c r="D36" s="16" t="s">
        <v>55</v>
      </c>
      <c r="E36" s="20">
        <v>519872</v>
      </c>
      <c r="F36" s="14">
        <v>647.13</v>
      </c>
      <c r="G36" s="14">
        <v>114</v>
      </c>
      <c r="H36" s="14">
        <v>533.13</v>
      </c>
      <c r="I36" s="24"/>
      <c r="J36" s="17">
        <v>26.656500000000001</v>
      </c>
      <c r="K36" s="14">
        <v>0</v>
      </c>
      <c r="L36" s="17">
        <v>506.4735</v>
      </c>
    </row>
    <row r="37" spans="1:12" x14ac:dyDescent="0.25">
      <c r="A37" s="19">
        <v>41227</v>
      </c>
      <c r="B37" s="18" t="s">
        <v>56</v>
      </c>
      <c r="C37" s="15">
        <v>7447067</v>
      </c>
      <c r="D37" s="16" t="s">
        <v>57</v>
      </c>
      <c r="E37" s="20">
        <v>520045</v>
      </c>
      <c r="F37" s="14">
        <v>358.19</v>
      </c>
      <c r="G37" s="14">
        <v>69.709999999999994</v>
      </c>
      <c r="H37" s="14">
        <v>288.48</v>
      </c>
      <c r="I37" s="40">
        <v>1256.97</v>
      </c>
      <c r="J37" s="17">
        <v>14.424000000000001</v>
      </c>
      <c r="K37" s="14">
        <v>0</v>
      </c>
      <c r="L37" s="17">
        <v>274.05600000000004</v>
      </c>
    </row>
    <row r="38" spans="1:12" x14ac:dyDescent="0.25">
      <c r="A38" s="19">
        <v>41227</v>
      </c>
      <c r="B38" s="18" t="s">
        <v>56</v>
      </c>
      <c r="C38" s="15">
        <v>7447067</v>
      </c>
      <c r="D38" s="16" t="s">
        <v>57</v>
      </c>
      <c r="E38" s="20">
        <v>520046</v>
      </c>
      <c r="F38" s="14">
        <v>380.29</v>
      </c>
      <c r="G38" s="14">
        <v>75</v>
      </c>
      <c r="H38" s="14">
        <v>305.29000000000002</v>
      </c>
      <c r="I38" s="40"/>
      <c r="J38" s="17">
        <v>15.264500000000002</v>
      </c>
      <c r="K38" s="14">
        <v>0</v>
      </c>
      <c r="L38" s="17">
        <v>290.02550000000002</v>
      </c>
    </row>
    <row r="39" spans="1:12" x14ac:dyDescent="0.25">
      <c r="A39" s="19">
        <v>41227</v>
      </c>
      <c r="B39" s="18" t="s">
        <v>56</v>
      </c>
      <c r="C39" s="15">
        <v>7447067</v>
      </c>
      <c r="D39" s="16" t="s">
        <v>57</v>
      </c>
      <c r="E39" s="20">
        <v>520173</v>
      </c>
      <c r="F39" s="14">
        <v>829</v>
      </c>
      <c r="G39" s="14">
        <v>165.8</v>
      </c>
      <c r="H39" s="14">
        <v>663.2</v>
      </c>
      <c r="I39" s="40"/>
      <c r="J39" s="17">
        <v>33.160000000000004</v>
      </c>
      <c r="K39" s="14">
        <v>0</v>
      </c>
      <c r="L39" s="17">
        <v>630.04000000000008</v>
      </c>
    </row>
    <row r="40" spans="1:12" x14ac:dyDescent="0.25">
      <c r="A40" s="19">
        <v>41227</v>
      </c>
      <c r="B40" s="18" t="s">
        <v>58</v>
      </c>
      <c r="C40" s="15">
        <v>9615964</v>
      </c>
      <c r="D40" s="16" t="s">
        <v>59</v>
      </c>
      <c r="E40" s="20">
        <v>520303</v>
      </c>
      <c r="F40" s="14">
        <v>475.71</v>
      </c>
      <c r="G40" s="14">
        <v>90</v>
      </c>
      <c r="H40" s="14">
        <v>385.71</v>
      </c>
      <c r="I40" s="40">
        <v>425.92999999999995</v>
      </c>
      <c r="J40" s="17">
        <v>19.285499999999999</v>
      </c>
      <c r="K40" s="14">
        <v>0</v>
      </c>
      <c r="L40" s="17">
        <v>366.42449999999997</v>
      </c>
    </row>
    <row r="41" spans="1:12" x14ac:dyDescent="0.25">
      <c r="A41" s="32">
        <v>41228</v>
      </c>
      <c r="B41" s="18" t="s">
        <v>58</v>
      </c>
      <c r="C41" s="15">
        <v>9615964</v>
      </c>
      <c r="D41" s="16" t="s">
        <v>59</v>
      </c>
      <c r="E41" s="20">
        <v>520304</v>
      </c>
      <c r="F41" s="14">
        <v>50.28</v>
      </c>
      <c r="G41" s="14">
        <v>10.06</v>
      </c>
      <c r="H41" s="14">
        <v>40.22</v>
      </c>
      <c r="I41" s="40"/>
      <c r="J41" s="17">
        <v>2.0110000000000001</v>
      </c>
      <c r="K41" s="14">
        <v>0</v>
      </c>
      <c r="L41" s="17">
        <v>38.208999999999996</v>
      </c>
    </row>
    <row r="42" spans="1:12" x14ac:dyDescent="0.25">
      <c r="A42" s="32">
        <v>41228</v>
      </c>
      <c r="B42" s="18" t="s">
        <v>60</v>
      </c>
      <c r="C42" s="15">
        <v>7426046</v>
      </c>
      <c r="D42" s="16" t="s">
        <v>61</v>
      </c>
      <c r="E42" s="20">
        <v>520154</v>
      </c>
      <c r="F42" s="14">
        <v>1116.0899999999999</v>
      </c>
      <c r="G42" s="14">
        <v>223.22</v>
      </c>
      <c r="H42" s="14">
        <v>892.87</v>
      </c>
      <c r="I42" s="40">
        <v>968.87</v>
      </c>
      <c r="J42" s="17">
        <v>44.643500000000003</v>
      </c>
      <c r="K42" s="14">
        <v>0</v>
      </c>
      <c r="L42" s="17">
        <v>848.22649999999999</v>
      </c>
    </row>
    <row r="43" spans="1:12" x14ac:dyDescent="0.25">
      <c r="A43" s="32">
        <v>41228</v>
      </c>
      <c r="B43" s="18" t="s">
        <v>60</v>
      </c>
      <c r="C43" s="15">
        <v>7426046</v>
      </c>
      <c r="D43" s="16" t="s">
        <v>61</v>
      </c>
      <c r="E43" s="20">
        <v>520311</v>
      </c>
      <c r="F43" s="14">
        <v>95</v>
      </c>
      <c r="G43" s="14">
        <v>19</v>
      </c>
      <c r="H43" s="14">
        <v>76</v>
      </c>
      <c r="I43" s="40"/>
      <c r="J43" s="17">
        <v>3.8000000000000003</v>
      </c>
      <c r="K43" s="14">
        <v>0</v>
      </c>
      <c r="L43" s="17">
        <v>72.2</v>
      </c>
    </row>
    <row r="44" spans="1:12" x14ac:dyDescent="0.25">
      <c r="A44" s="32">
        <v>41228</v>
      </c>
      <c r="B44" s="18" t="s">
        <v>62</v>
      </c>
      <c r="C44" s="15">
        <v>7309375</v>
      </c>
      <c r="D44" s="16" t="s">
        <v>63</v>
      </c>
      <c r="E44" s="20">
        <v>519900</v>
      </c>
      <c r="F44" s="14">
        <v>348</v>
      </c>
      <c r="G44" s="14">
        <v>69.599999999999994</v>
      </c>
      <c r="H44" s="14">
        <v>278.39999999999998</v>
      </c>
      <c r="I44" s="40">
        <v>542.4</v>
      </c>
      <c r="J44" s="17">
        <v>13.92</v>
      </c>
      <c r="K44" s="14">
        <v>0</v>
      </c>
      <c r="L44" s="17">
        <v>264.47999999999996</v>
      </c>
    </row>
    <row r="45" spans="1:12" x14ac:dyDescent="0.25">
      <c r="A45" s="32">
        <v>41228</v>
      </c>
      <c r="B45" s="18" t="s">
        <v>62</v>
      </c>
      <c r="C45" s="15">
        <v>7309375</v>
      </c>
      <c r="D45" s="16" t="s">
        <v>63</v>
      </c>
      <c r="E45" s="20">
        <v>520316</v>
      </c>
      <c r="F45" s="14">
        <v>330</v>
      </c>
      <c r="G45" s="14">
        <v>66</v>
      </c>
      <c r="H45" s="14">
        <v>264</v>
      </c>
      <c r="I45" s="40"/>
      <c r="J45" s="17">
        <v>13.200000000000001</v>
      </c>
      <c r="K45" s="14">
        <v>0</v>
      </c>
      <c r="L45" s="17">
        <v>250.8</v>
      </c>
    </row>
    <row r="46" spans="1:12" x14ac:dyDescent="0.25">
      <c r="A46" s="32">
        <v>41228</v>
      </c>
      <c r="B46" s="18" t="s">
        <v>64</v>
      </c>
      <c r="C46" s="15">
        <v>4739796</v>
      </c>
      <c r="D46" s="16" t="s">
        <v>65</v>
      </c>
      <c r="E46" s="20">
        <v>520165</v>
      </c>
      <c r="F46" s="14">
        <v>338.87</v>
      </c>
      <c r="G46" s="14">
        <v>39.799999999999997</v>
      </c>
      <c r="H46" s="14">
        <v>315.85000000000002</v>
      </c>
      <c r="I46" s="25"/>
      <c r="J46" s="17">
        <v>15.792500000000002</v>
      </c>
      <c r="K46" s="14">
        <v>16.78</v>
      </c>
      <c r="L46" s="17">
        <v>300.0575</v>
      </c>
    </row>
    <row r="47" spans="1:12" x14ac:dyDescent="0.25">
      <c r="A47" s="32">
        <v>41228</v>
      </c>
      <c r="B47" s="18" t="s">
        <v>66</v>
      </c>
      <c r="C47" s="15">
        <v>4731494</v>
      </c>
      <c r="D47" s="16" t="s">
        <v>67</v>
      </c>
      <c r="E47" s="20">
        <v>519864</v>
      </c>
      <c r="F47" s="14">
        <v>79.23</v>
      </c>
      <c r="G47" s="14">
        <v>15.26</v>
      </c>
      <c r="H47" s="14">
        <v>63.97</v>
      </c>
      <c r="I47" s="40">
        <v>91.289999999999992</v>
      </c>
      <c r="J47" s="17">
        <v>3.1985000000000001</v>
      </c>
      <c r="K47" s="14">
        <v>0</v>
      </c>
      <c r="L47" s="17">
        <v>60.771499999999996</v>
      </c>
    </row>
    <row r="48" spans="1:12" x14ac:dyDescent="0.25">
      <c r="A48" s="32">
        <v>41228</v>
      </c>
      <c r="B48" s="18" t="s">
        <v>66</v>
      </c>
      <c r="C48" s="15">
        <v>4731494</v>
      </c>
      <c r="D48" s="16" t="s">
        <v>67</v>
      </c>
      <c r="E48" s="20">
        <v>520395</v>
      </c>
      <c r="F48" s="14">
        <v>26</v>
      </c>
      <c r="G48" s="14">
        <v>0</v>
      </c>
      <c r="H48" s="14">
        <v>27.32</v>
      </c>
      <c r="I48" s="40"/>
      <c r="J48" s="17">
        <v>0</v>
      </c>
      <c r="K48" s="14">
        <v>1.32</v>
      </c>
      <c r="L48" s="17">
        <v>27.32</v>
      </c>
    </row>
    <row r="49" spans="1:12" x14ac:dyDescent="0.25">
      <c r="A49" s="32">
        <v>41228</v>
      </c>
      <c r="B49" s="18" t="s">
        <v>68</v>
      </c>
      <c r="C49" s="15">
        <v>13868786</v>
      </c>
      <c r="D49" s="16" t="s">
        <v>69</v>
      </c>
      <c r="E49" s="20">
        <v>520432</v>
      </c>
      <c r="F49" s="14">
        <v>490</v>
      </c>
      <c r="G49" s="14">
        <v>98</v>
      </c>
      <c r="H49" s="14">
        <v>392</v>
      </c>
      <c r="I49" s="25"/>
      <c r="J49" s="17">
        <v>19.600000000000001</v>
      </c>
      <c r="K49" s="14">
        <v>0</v>
      </c>
      <c r="L49" s="17">
        <v>372.4</v>
      </c>
    </row>
    <row r="50" spans="1:12" x14ac:dyDescent="0.25">
      <c r="A50" s="32">
        <v>41229</v>
      </c>
      <c r="B50" s="18" t="s">
        <v>70</v>
      </c>
      <c r="C50" s="15">
        <v>7401853</v>
      </c>
      <c r="D50" s="16" t="s">
        <v>71</v>
      </c>
      <c r="E50" s="20">
        <v>520291</v>
      </c>
      <c r="F50" s="14">
        <v>614.48</v>
      </c>
      <c r="G50" s="14">
        <v>108.4</v>
      </c>
      <c r="H50" s="14">
        <v>514.78</v>
      </c>
      <c r="I50" s="40">
        <v>583.57999999999993</v>
      </c>
      <c r="J50" s="17">
        <v>25.739000000000001</v>
      </c>
      <c r="K50" s="14">
        <v>8.6999999999999993</v>
      </c>
      <c r="L50" s="17">
        <v>489.041</v>
      </c>
    </row>
    <row r="51" spans="1:12" x14ac:dyDescent="0.25">
      <c r="A51" s="32">
        <v>41229</v>
      </c>
      <c r="B51" s="18" t="s">
        <v>70</v>
      </c>
      <c r="C51" s="15">
        <v>7401853</v>
      </c>
      <c r="D51" s="16" t="s">
        <v>71</v>
      </c>
      <c r="E51" s="20">
        <v>520292</v>
      </c>
      <c r="F51" s="14">
        <v>86</v>
      </c>
      <c r="G51" s="14">
        <v>17.2</v>
      </c>
      <c r="H51" s="14">
        <v>68.8</v>
      </c>
      <c r="I51" s="40"/>
      <c r="J51" s="17">
        <v>3.44</v>
      </c>
      <c r="K51" s="14">
        <v>0</v>
      </c>
      <c r="L51" s="17">
        <v>65.36</v>
      </c>
    </row>
    <row r="52" spans="1:12" x14ac:dyDescent="0.25">
      <c r="A52" s="32">
        <v>41229</v>
      </c>
      <c r="B52" s="18" t="s">
        <v>72</v>
      </c>
      <c r="C52" s="15">
        <v>5765952</v>
      </c>
      <c r="D52" s="16" t="s">
        <v>73</v>
      </c>
      <c r="E52" s="20">
        <v>520272</v>
      </c>
      <c r="F52" s="14">
        <v>321</v>
      </c>
      <c r="G52" s="14">
        <v>64.2</v>
      </c>
      <c r="H52" s="14">
        <v>256.8</v>
      </c>
      <c r="I52" s="25"/>
      <c r="J52" s="17">
        <v>12.840000000000002</v>
      </c>
      <c r="K52" s="14">
        <v>0</v>
      </c>
      <c r="L52" s="17">
        <v>243.96</v>
      </c>
    </row>
    <row r="53" spans="1:12" x14ac:dyDescent="0.25">
      <c r="A53" s="32">
        <v>41229</v>
      </c>
      <c r="B53" s="18" t="s">
        <v>74</v>
      </c>
      <c r="C53" s="15">
        <v>11883300</v>
      </c>
      <c r="D53" s="16" t="s">
        <v>75</v>
      </c>
      <c r="E53" s="20">
        <v>520312</v>
      </c>
      <c r="F53" s="14">
        <v>765</v>
      </c>
      <c r="G53" s="14">
        <v>153</v>
      </c>
      <c r="H53" s="14">
        <v>612</v>
      </c>
      <c r="I53" s="25"/>
      <c r="J53" s="17">
        <v>30.6</v>
      </c>
      <c r="K53" s="14">
        <v>0</v>
      </c>
      <c r="L53" s="17">
        <v>581.4</v>
      </c>
    </row>
    <row r="54" spans="1:12" x14ac:dyDescent="0.25">
      <c r="A54" s="32">
        <v>41229</v>
      </c>
      <c r="B54" s="18" t="s">
        <v>76</v>
      </c>
      <c r="C54" s="15">
        <v>15598933</v>
      </c>
      <c r="D54" s="16" t="s">
        <v>77</v>
      </c>
      <c r="E54" s="20">
        <v>520083</v>
      </c>
      <c r="F54" s="14">
        <v>406.33</v>
      </c>
      <c r="G54" s="14">
        <v>71</v>
      </c>
      <c r="H54" s="14">
        <v>335.33</v>
      </c>
      <c r="I54" s="25"/>
      <c r="J54" s="17">
        <v>16.766500000000001</v>
      </c>
      <c r="K54" s="14">
        <v>0</v>
      </c>
      <c r="L54" s="17">
        <v>318.56349999999998</v>
      </c>
    </row>
    <row r="55" spans="1:12" x14ac:dyDescent="0.25">
      <c r="A55" s="32">
        <v>41230</v>
      </c>
      <c r="B55" s="18" t="s">
        <v>78</v>
      </c>
      <c r="C55" s="15">
        <v>5925143</v>
      </c>
      <c r="D55" s="16" t="s">
        <v>79</v>
      </c>
      <c r="E55" s="20">
        <v>520220</v>
      </c>
      <c r="F55" s="14">
        <v>112</v>
      </c>
      <c r="G55" s="14">
        <v>22.4</v>
      </c>
      <c r="H55" s="14">
        <v>89.6</v>
      </c>
      <c r="I55" s="25"/>
      <c r="J55" s="17">
        <v>4.4799999999999995</v>
      </c>
      <c r="K55" s="14">
        <v>0</v>
      </c>
      <c r="L55" s="17">
        <v>85.11999999999999</v>
      </c>
    </row>
    <row r="56" spans="1:12" x14ac:dyDescent="0.25">
      <c r="A56" s="32">
        <v>41230</v>
      </c>
      <c r="B56" s="18" t="s">
        <v>80</v>
      </c>
      <c r="C56" s="15">
        <v>7419340</v>
      </c>
      <c r="D56" s="16" t="s">
        <v>81</v>
      </c>
      <c r="E56" s="20">
        <v>520128</v>
      </c>
      <c r="F56" s="14">
        <v>247.38</v>
      </c>
      <c r="G56" s="14">
        <v>43.2</v>
      </c>
      <c r="H56" s="14">
        <v>204.18</v>
      </c>
      <c r="I56" s="40">
        <v>440.18</v>
      </c>
      <c r="J56" s="17">
        <v>10.209000000000001</v>
      </c>
      <c r="K56" s="14">
        <v>0</v>
      </c>
      <c r="L56" s="17">
        <v>193.971</v>
      </c>
    </row>
    <row r="57" spans="1:12" x14ac:dyDescent="0.25">
      <c r="A57" s="32">
        <v>41230</v>
      </c>
      <c r="B57" s="18" t="s">
        <v>80</v>
      </c>
      <c r="C57" s="15">
        <v>7419340</v>
      </c>
      <c r="D57" s="16" t="s">
        <v>81</v>
      </c>
      <c r="E57" s="20">
        <v>520239</v>
      </c>
      <c r="F57" s="14">
        <v>295</v>
      </c>
      <c r="G57" s="14">
        <v>59</v>
      </c>
      <c r="H57" s="14">
        <v>236</v>
      </c>
      <c r="I57" s="40"/>
      <c r="J57" s="17">
        <v>11.8</v>
      </c>
      <c r="K57" s="14">
        <v>0</v>
      </c>
      <c r="L57" s="17">
        <v>224.2</v>
      </c>
    </row>
    <row r="58" spans="1:12" x14ac:dyDescent="0.25">
      <c r="A58" s="32">
        <v>41232</v>
      </c>
      <c r="B58" s="18" t="s">
        <v>82</v>
      </c>
      <c r="C58" s="15">
        <v>7388038</v>
      </c>
      <c r="D58" s="16" t="s">
        <v>83</v>
      </c>
      <c r="E58" s="20">
        <v>520202</v>
      </c>
      <c r="F58" s="14">
        <v>210</v>
      </c>
      <c r="G58" s="14">
        <v>42</v>
      </c>
      <c r="H58" s="14">
        <v>168</v>
      </c>
      <c r="I58" s="25"/>
      <c r="J58" s="17">
        <v>8.4</v>
      </c>
      <c r="K58" s="14">
        <v>0</v>
      </c>
      <c r="L58" s="17">
        <v>159.6</v>
      </c>
    </row>
    <row r="59" spans="1:12" x14ac:dyDescent="0.25">
      <c r="A59" s="32">
        <v>41232</v>
      </c>
      <c r="B59" s="18" t="s">
        <v>84</v>
      </c>
      <c r="C59" s="15">
        <v>3314884</v>
      </c>
      <c r="D59" s="16" t="s">
        <v>85</v>
      </c>
      <c r="E59" s="20">
        <v>519838</v>
      </c>
      <c r="F59" s="14">
        <v>544.02</v>
      </c>
      <c r="G59" s="14">
        <v>108.8</v>
      </c>
      <c r="H59" s="14">
        <v>435.22</v>
      </c>
      <c r="I59" s="25"/>
      <c r="J59" s="17">
        <v>21.761000000000003</v>
      </c>
      <c r="K59" s="14">
        <v>0</v>
      </c>
      <c r="L59" s="17">
        <v>413.459</v>
      </c>
    </row>
    <row r="60" spans="1:12" x14ac:dyDescent="0.25">
      <c r="A60" s="32">
        <v>41232</v>
      </c>
      <c r="B60" s="18" t="s">
        <v>86</v>
      </c>
      <c r="C60" s="15">
        <v>12704649</v>
      </c>
      <c r="D60" s="16" t="s">
        <v>87</v>
      </c>
      <c r="E60" s="20">
        <v>520161</v>
      </c>
      <c r="F60" s="14">
        <v>161.6</v>
      </c>
      <c r="G60" s="14">
        <v>31.2</v>
      </c>
      <c r="H60" s="14">
        <v>130.4</v>
      </c>
      <c r="I60" s="40">
        <v>256.8</v>
      </c>
      <c r="J60" s="17">
        <v>6.5200000000000005</v>
      </c>
      <c r="K60" s="14">
        <v>0</v>
      </c>
      <c r="L60" s="17">
        <v>123.88000000000001</v>
      </c>
    </row>
    <row r="61" spans="1:12" x14ac:dyDescent="0.25">
      <c r="A61" s="32">
        <v>41232</v>
      </c>
      <c r="B61" s="18" t="s">
        <v>88</v>
      </c>
      <c r="C61" s="15">
        <v>12704649</v>
      </c>
      <c r="D61" s="16" t="s">
        <v>87</v>
      </c>
      <c r="E61" s="20">
        <v>520326</v>
      </c>
      <c r="F61" s="14">
        <v>158</v>
      </c>
      <c r="G61" s="14">
        <v>31.6</v>
      </c>
      <c r="H61" s="14">
        <v>126.4</v>
      </c>
      <c r="I61" s="40"/>
      <c r="J61" s="17">
        <v>6.32</v>
      </c>
      <c r="K61" s="14">
        <v>0</v>
      </c>
      <c r="L61" s="17">
        <v>120.08000000000001</v>
      </c>
    </row>
    <row r="62" spans="1:12" x14ac:dyDescent="0.25">
      <c r="A62" s="32">
        <v>41232</v>
      </c>
      <c r="B62" s="18" t="s">
        <v>89</v>
      </c>
      <c r="C62" s="15">
        <v>13187744</v>
      </c>
      <c r="D62" s="16" t="s">
        <v>90</v>
      </c>
      <c r="E62" s="20">
        <v>520005</v>
      </c>
      <c r="F62" s="14">
        <v>140</v>
      </c>
      <c r="G62" s="14">
        <v>28</v>
      </c>
      <c r="H62" s="14">
        <v>112</v>
      </c>
      <c r="I62" s="25"/>
      <c r="J62" s="17">
        <v>5.6000000000000005</v>
      </c>
      <c r="K62" s="14">
        <v>0</v>
      </c>
      <c r="L62" s="17">
        <v>106.4</v>
      </c>
    </row>
    <row r="63" spans="1:12" x14ac:dyDescent="0.25">
      <c r="A63" s="32">
        <v>41232</v>
      </c>
      <c r="B63" s="18" t="s">
        <v>91</v>
      </c>
      <c r="C63" s="15">
        <v>6575243</v>
      </c>
      <c r="D63" s="16" t="s">
        <v>92</v>
      </c>
      <c r="E63" s="20">
        <v>519976</v>
      </c>
      <c r="F63" s="14">
        <v>358.28</v>
      </c>
      <c r="G63" s="14">
        <v>71.66</v>
      </c>
      <c r="H63" s="14">
        <v>286.62</v>
      </c>
      <c r="I63" s="40">
        <v>435.42</v>
      </c>
      <c r="J63" s="17">
        <v>14.331000000000001</v>
      </c>
      <c r="K63" s="14">
        <v>0</v>
      </c>
      <c r="L63" s="17">
        <v>272.28899999999999</v>
      </c>
    </row>
    <row r="64" spans="1:12" x14ac:dyDescent="0.25">
      <c r="A64" s="32">
        <v>41232</v>
      </c>
      <c r="B64" s="18" t="s">
        <v>91</v>
      </c>
      <c r="C64" s="15">
        <v>6575243</v>
      </c>
      <c r="D64" s="16" t="s">
        <v>92</v>
      </c>
      <c r="E64" s="20">
        <v>520227</v>
      </c>
      <c r="F64" s="14">
        <v>186</v>
      </c>
      <c r="G64" s="14">
        <v>37.200000000000003</v>
      </c>
      <c r="H64" s="14">
        <v>148.80000000000001</v>
      </c>
      <c r="I64" s="40"/>
      <c r="J64" s="17">
        <v>7.4400000000000013</v>
      </c>
      <c r="K64" s="14">
        <v>0</v>
      </c>
      <c r="L64" s="17">
        <v>141.36000000000001</v>
      </c>
    </row>
    <row r="65" spans="1:12" x14ac:dyDescent="0.25">
      <c r="A65" s="32">
        <v>41232</v>
      </c>
      <c r="B65" s="18" t="s">
        <v>93</v>
      </c>
      <c r="C65" s="15">
        <v>12698965</v>
      </c>
      <c r="D65" s="16" t="s">
        <v>94</v>
      </c>
      <c r="E65" s="20">
        <v>520411</v>
      </c>
      <c r="F65" s="14">
        <v>227.12</v>
      </c>
      <c r="G65" s="14">
        <v>45.43</v>
      </c>
      <c r="H65" s="14">
        <v>181.69</v>
      </c>
      <c r="I65" s="40">
        <v>355.32</v>
      </c>
      <c r="J65" s="17">
        <v>9.0845000000000002</v>
      </c>
      <c r="K65" s="14">
        <v>0</v>
      </c>
      <c r="L65" s="17">
        <v>172.60550000000001</v>
      </c>
    </row>
    <row r="66" spans="1:12" x14ac:dyDescent="0.25">
      <c r="A66" s="32">
        <v>41232</v>
      </c>
      <c r="B66" s="18" t="s">
        <v>93</v>
      </c>
      <c r="C66" s="15">
        <v>12698965</v>
      </c>
      <c r="D66" s="16" t="s">
        <v>94</v>
      </c>
      <c r="E66" s="20">
        <v>520412</v>
      </c>
      <c r="F66" s="14">
        <v>215.6</v>
      </c>
      <c r="G66" s="14">
        <v>42.4</v>
      </c>
      <c r="H66" s="14">
        <v>173.63</v>
      </c>
      <c r="I66" s="40"/>
      <c r="J66" s="17">
        <v>8.6814999999999998</v>
      </c>
      <c r="K66" s="14">
        <v>0.43</v>
      </c>
      <c r="L66" s="17">
        <v>164.9485</v>
      </c>
    </row>
    <row r="67" spans="1:12" x14ac:dyDescent="0.25">
      <c r="A67" s="32">
        <v>41232</v>
      </c>
      <c r="B67" s="18" t="s">
        <v>95</v>
      </c>
      <c r="C67" s="15">
        <v>2541709</v>
      </c>
      <c r="D67" s="16" t="s">
        <v>96</v>
      </c>
      <c r="E67" s="20">
        <v>519965</v>
      </c>
      <c r="F67" s="14">
        <v>259.58</v>
      </c>
      <c r="G67" s="14">
        <v>49.8</v>
      </c>
      <c r="H67" s="14">
        <v>209.78</v>
      </c>
      <c r="I67" s="40">
        <v>407.61</v>
      </c>
      <c r="J67" s="17">
        <v>10.489000000000001</v>
      </c>
      <c r="K67" s="14">
        <v>0</v>
      </c>
      <c r="L67" s="17">
        <v>199.291</v>
      </c>
    </row>
    <row r="68" spans="1:12" x14ac:dyDescent="0.25">
      <c r="A68" s="32">
        <v>41233</v>
      </c>
      <c r="B68" s="18" t="s">
        <v>95</v>
      </c>
      <c r="C68" s="15">
        <v>2541709</v>
      </c>
      <c r="D68" s="16" t="s">
        <v>96</v>
      </c>
      <c r="E68" s="20">
        <v>519966</v>
      </c>
      <c r="F68" s="14">
        <v>244.79</v>
      </c>
      <c r="G68" s="14">
        <v>46.96</v>
      </c>
      <c r="H68" s="14">
        <v>197.83</v>
      </c>
      <c r="I68" s="40"/>
      <c r="J68" s="17">
        <v>9.8915000000000006</v>
      </c>
      <c r="K68" s="14">
        <v>0</v>
      </c>
      <c r="L68" s="17">
        <v>187.9385</v>
      </c>
    </row>
    <row r="69" spans="1:12" x14ac:dyDescent="0.25">
      <c r="A69" s="32">
        <v>41233</v>
      </c>
      <c r="B69" s="18" t="s">
        <v>97</v>
      </c>
      <c r="C69" s="15">
        <v>7429274</v>
      </c>
      <c r="D69" s="16" t="s">
        <v>98</v>
      </c>
      <c r="E69" s="20">
        <v>520117</v>
      </c>
      <c r="F69" s="14">
        <v>386.37</v>
      </c>
      <c r="G69" s="14">
        <v>76.2</v>
      </c>
      <c r="H69" s="14">
        <v>310.81</v>
      </c>
      <c r="I69" s="25"/>
      <c r="J69" s="17">
        <v>15.540500000000002</v>
      </c>
      <c r="K69" s="14">
        <v>0.64</v>
      </c>
      <c r="L69" s="17">
        <v>295.26949999999999</v>
      </c>
    </row>
    <row r="70" spans="1:12" x14ac:dyDescent="0.25">
      <c r="A70" s="32">
        <v>41233</v>
      </c>
      <c r="B70" s="18" t="s">
        <v>99</v>
      </c>
      <c r="C70" s="15">
        <v>17965237</v>
      </c>
      <c r="D70" s="16" t="s">
        <v>100</v>
      </c>
      <c r="E70" s="20">
        <v>520373</v>
      </c>
      <c r="F70" s="14">
        <v>260</v>
      </c>
      <c r="G70" s="14">
        <v>37</v>
      </c>
      <c r="H70" s="14">
        <v>232</v>
      </c>
      <c r="I70" s="25"/>
      <c r="J70" s="17">
        <v>11.600000000000001</v>
      </c>
      <c r="K70" s="14">
        <v>9</v>
      </c>
      <c r="L70" s="17">
        <v>220.4</v>
      </c>
    </row>
    <row r="71" spans="1:12" x14ac:dyDescent="0.25">
      <c r="A71" s="32">
        <v>41233</v>
      </c>
      <c r="B71" s="18" t="s">
        <v>101</v>
      </c>
      <c r="C71" s="15">
        <v>10770124</v>
      </c>
      <c r="D71" s="16" t="s">
        <v>102</v>
      </c>
      <c r="E71" s="20">
        <v>519837</v>
      </c>
      <c r="F71" s="14">
        <v>395</v>
      </c>
      <c r="G71" s="14">
        <v>79</v>
      </c>
      <c r="H71" s="14">
        <v>316</v>
      </c>
      <c r="I71" s="25"/>
      <c r="J71" s="17">
        <v>15.8</v>
      </c>
      <c r="K71" s="14">
        <v>0</v>
      </c>
      <c r="L71" s="17">
        <v>300.2</v>
      </c>
    </row>
    <row r="72" spans="1:12" x14ac:dyDescent="0.25">
      <c r="A72" s="32">
        <v>41233</v>
      </c>
      <c r="B72" s="18" t="s">
        <v>103</v>
      </c>
      <c r="C72" s="15">
        <v>3710064</v>
      </c>
      <c r="D72" s="16" t="s">
        <v>104</v>
      </c>
      <c r="E72" s="20">
        <v>520162</v>
      </c>
      <c r="F72" s="14">
        <v>349</v>
      </c>
      <c r="G72" s="14">
        <v>69.8</v>
      </c>
      <c r="H72" s="14">
        <v>279.2</v>
      </c>
      <c r="I72" s="25"/>
      <c r="J72" s="17">
        <v>13.96</v>
      </c>
      <c r="K72" s="14">
        <v>0</v>
      </c>
      <c r="L72" s="17">
        <v>265.24</v>
      </c>
    </row>
    <row r="73" spans="1:12" x14ac:dyDescent="0.25">
      <c r="A73" s="32">
        <v>41233</v>
      </c>
      <c r="B73" s="18" t="s">
        <v>105</v>
      </c>
      <c r="C73" s="15">
        <v>7436077</v>
      </c>
      <c r="D73" s="16" t="s">
        <v>106</v>
      </c>
      <c r="E73" s="20">
        <v>519865</v>
      </c>
      <c r="F73" s="14">
        <v>28</v>
      </c>
      <c r="G73" s="14">
        <v>0</v>
      </c>
      <c r="H73" s="14">
        <v>28</v>
      </c>
      <c r="I73" s="22"/>
      <c r="J73" s="17">
        <v>0</v>
      </c>
      <c r="K73" s="14">
        <v>0</v>
      </c>
      <c r="L73" s="17">
        <v>28</v>
      </c>
    </row>
    <row r="74" spans="1:12" x14ac:dyDescent="0.25">
      <c r="A74" s="32">
        <v>41234</v>
      </c>
      <c r="B74" s="18" t="s">
        <v>107</v>
      </c>
      <c r="C74" s="15">
        <v>7425063</v>
      </c>
      <c r="D74" s="16" t="s">
        <v>108</v>
      </c>
      <c r="E74" s="20">
        <v>520019</v>
      </c>
      <c r="F74" s="14">
        <v>572</v>
      </c>
      <c r="G74" s="14">
        <v>114.4</v>
      </c>
      <c r="H74" s="14">
        <v>457.6</v>
      </c>
      <c r="I74" s="25"/>
      <c r="J74" s="17">
        <v>22.880000000000003</v>
      </c>
      <c r="K74" s="14">
        <v>0</v>
      </c>
      <c r="L74" s="17">
        <v>434.72</v>
      </c>
    </row>
    <row r="75" spans="1:12" x14ac:dyDescent="0.25">
      <c r="A75" s="32">
        <v>41234</v>
      </c>
      <c r="B75" s="18" t="s">
        <v>109</v>
      </c>
      <c r="C75" s="15">
        <v>7373089</v>
      </c>
      <c r="D75" s="16" t="s">
        <v>110</v>
      </c>
      <c r="E75" s="20">
        <v>520221</v>
      </c>
      <c r="F75" s="14">
        <v>1017.09</v>
      </c>
      <c r="G75" s="14">
        <v>203.42</v>
      </c>
      <c r="H75" s="14">
        <v>813.67</v>
      </c>
      <c r="I75" s="25"/>
      <c r="J75" s="17">
        <v>40.683500000000002</v>
      </c>
      <c r="K75" s="14">
        <v>0</v>
      </c>
      <c r="L75" s="17">
        <v>772.98649999999998</v>
      </c>
    </row>
    <row r="76" spans="1:12" x14ac:dyDescent="0.25">
      <c r="A76" s="32">
        <v>41234</v>
      </c>
      <c r="B76" s="18" t="s">
        <v>111</v>
      </c>
      <c r="C76" s="15">
        <v>14513487</v>
      </c>
      <c r="D76" s="16" t="s">
        <v>112</v>
      </c>
      <c r="E76" s="20">
        <v>520022</v>
      </c>
      <c r="F76" s="14">
        <v>316.81</v>
      </c>
      <c r="G76" s="14">
        <v>55.29</v>
      </c>
      <c r="H76" s="14">
        <v>261.52</v>
      </c>
      <c r="I76" s="40">
        <v>304.02</v>
      </c>
      <c r="J76" s="17">
        <v>13.076000000000001</v>
      </c>
      <c r="K76" s="14">
        <v>0</v>
      </c>
      <c r="L76" s="17">
        <v>248.44399999999999</v>
      </c>
    </row>
    <row r="77" spans="1:12" x14ac:dyDescent="0.25">
      <c r="A77" s="32">
        <v>41234</v>
      </c>
      <c r="B77" s="18" t="s">
        <v>111</v>
      </c>
      <c r="C77" s="15">
        <v>14513487</v>
      </c>
      <c r="D77" s="16" t="s">
        <v>112</v>
      </c>
      <c r="E77" s="20">
        <v>520023</v>
      </c>
      <c r="F77" s="14">
        <v>37.950000000000003</v>
      </c>
      <c r="G77" s="14">
        <v>0</v>
      </c>
      <c r="H77" s="14">
        <v>42.5</v>
      </c>
      <c r="I77" s="40"/>
      <c r="J77" s="17">
        <v>0</v>
      </c>
      <c r="K77" s="14">
        <v>4.55</v>
      </c>
      <c r="L77" s="17">
        <v>42.5</v>
      </c>
    </row>
    <row r="78" spans="1:12" x14ac:dyDescent="0.25">
      <c r="A78" s="32">
        <v>41234</v>
      </c>
      <c r="B78" s="18" t="s">
        <v>113</v>
      </c>
      <c r="C78" s="15">
        <v>8054279</v>
      </c>
      <c r="D78" s="16" t="s">
        <v>114</v>
      </c>
      <c r="E78" s="20">
        <v>520014</v>
      </c>
      <c r="F78" s="14">
        <v>395</v>
      </c>
      <c r="G78" s="14">
        <v>79</v>
      </c>
      <c r="H78" s="14">
        <v>316</v>
      </c>
      <c r="I78" s="25"/>
      <c r="J78" s="17">
        <v>15.8</v>
      </c>
      <c r="K78" s="14">
        <v>0</v>
      </c>
      <c r="L78" s="17">
        <v>300.2</v>
      </c>
    </row>
    <row r="79" spans="1:12" x14ac:dyDescent="0.25">
      <c r="A79" s="32">
        <v>41234</v>
      </c>
      <c r="B79" s="18" t="s">
        <v>115</v>
      </c>
      <c r="C79" s="15">
        <v>5255641</v>
      </c>
      <c r="D79" s="16" t="s">
        <v>116</v>
      </c>
      <c r="E79" s="20">
        <v>520087</v>
      </c>
      <c r="F79" s="14">
        <v>301</v>
      </c>
      <c r="G79" s="14">
        <v>60.2</v>
      </c>
      <c r="H79" s="14">
        <v>240.8</v>
      </c>
      <c r="I79" s="25"/>
      <c r="J79" s="17">
        <v>12.040000000000001</v>
      </c>
      <c r="K79" s="14">
        <v>0</v>
      </c>
      <c r="L79" s="17">
        <v>228.76000000000002</v>
      </c>
    </row>
    <row r="80" spans="1:12" x14ac:dyDescent="0.25">
      <c r="A80" s="32">
        <v>41234</v>
      </c>
      <c r="B80" s="18" t="s">
        <v>117</v>
      </c>
      <c r="C80" s="15">
        <v>7322780</v>
      </c>
      <c r="D80" s="16" t="s">
        <v>118</v>
      </c>
      <c r="E80" s="20">
        <v>519921</v>
      </c>
      <c r="F80" s="14">
        <v>248</v>
      </c>
      <c r="G80" s="14">
        <v>46</v>
      </c>
      <c r="H80" s="14">
        <v>202</v>
      </c>
      <c r="I80" s="25"/>
      <c r="J80" s="17">
        <v>10.100000000000001</v>
      </c>
      <c r="K80" s="14">
        <v>0</v>
      </c>
      <c r="L80" s="17">
        <v>191.9</v>
      </c>
    </row>
    <row r="81" spans="1:12" x14ac:dyDescent="0.25">
      <c r="A81" s="32">
        <v>41234</v>
      </c>
      <c r="B81" s="18" t="s">
        <v>119</v>
      </c>
      <c r="C81" s="15">
        <v>7331943</v>
      </c>
      <c r="D81" s="16" t="s">
        <v>120</v>
      </c>
      <c r="E81" s="20">
        <v>519957</v>
      </c>
      <c r="F81" s="14">
        <v>334.48</v>
      </c>
      <c r="G81" s="14">
        <v>51.9</v>
      </c>
      <c r="H81" s="14">
        <v>291.58</v>
      </c>
      <c r="I81" s="25"/>
      <c r="J81" s="17">
        <v>14.579000000000001</v>
      </c>
      <c r="K81" s="14">
        <v>0</v>
      </c>
      <c r="L81" s="17">
        <v>277.00099999999998</v>
      </c>
    </row>
    <row r="82" spans="1:12" x14ac:dyDescent="0.25">
      <c r="A82" s="32">
        <v>41234</v>
      </c>
      <c r="B82" s="18" t="s">
        <v>121</v>
      </c>
      <c r="C82" s="15">
        <v>11633896</v>
      </c>
      <c r="D82" s="16" t="s">
        <v>122</v>
      </c>
      <c r="E82" s="20">
        <v>520131</v>
      </c>
      <c r="F82" s="14">
        <v>267.8</v>
      </c>
      <c r="G82" s="14">
        <v>44.8</v>
      </c>
      <c r="H82" s="14">
        <v>223</v>
      </c>
      <c r="I82" s="40">
        <v>599.36</v>
      </c>
      <c r="J82" s="17">
        <v>11.15</v>
      </c>
      <c r="K82" s="14">
        <v>0</v>
      </c>
      <c r="L82" s="17">
        <v>211.85</v>
      </c>
    </row>
    <row r="83" spans="1:12" x14ac:dyDescent="0.25">
      <c r="A83" s="32">
        <v>41234</v>
      </c>
      <c r="B83" s="18" t="s">
        <v>121</v>
      </c>
      <c r="C83" s="15">
        <v>11633896</v>
      </c>
      <c r="D83" s="16" t="s">
        <v>122</v>
      </c>
      <c r="E83" s="20">
        <v>520314</v>
      </c>
      <c r="F83" s="14">
        <v>462.61</v>
      </c>
      <c r="G83" s="14">
        <v>88.6</v>
      </c>
      <c r="H83" s="14">
        <v>376.36</v>
      </c>
      <c r="I83" s="40"/>
      <c r="J83" s="17">
        <v>18.818000000000001</v>
      </c>
      <c r="K83" s="14">
        <v>2.35</v>
      </c>
      <c r="L83" s="17">
        <v>357.54200000000003</v>
      </c>
    </row>
    <row r="84" spans="1:12" x14ac:dyDescent="0.25">
      <c r="A84" s="32">
        <v>41234</v>
      </c>
      <c r="B84" s="18" t="s">
        <v>123</v>
      </c>
      <c r="C84" s="15">
        <v>7983170</v>
      </c>
      <c r="D84" s="16" t="s">
        <v>124</v>
      </c>
      <c r="E84" s="20">
        <v>520447</v>
      </c>
      <c r="F84" s="14">
        <v>390.25</v>
      </c>
      <c r="G84" s="14">
        <v>75.59</v>
      </c>
      <c r="H84" s="14">
        <v>314.66000000000003</v>
      </c>
      <c r="I84" s="25"/>
      <c r="J84" s="17">
        <v>15.733000000000002</v>
      </c>
      <c r="K84" s="14">
        <v>0</v>
      </c>
      <c r="L84" s="17">
        <v>298.92700000000002</v>
      </c>
    </row>
    <row r="85" spans="1:12" x14ac:dyDescent="0.25">
      <c r="A85" s="32">
        <v>41234</v>
      </c>
      <c r="B85" s="18" t="s">
        <v>125</v>
      </c>
      <c r="C85" s="15">
        <v>7347856</v>
      </c>
      <c r="D85" s="16" t="s">
        <v>126</v>
      </c>
      <c r="E85" s="20">
        <v>519850</v>
      </c>
      <c r="F85" s="14">
        <v>948.75</v>
      </c>
      <c r="G85" s="14">
        <v>189.75</v>
      </c>
      <c r="H85" s="14">
        <v>759</v>
      </c>
      <c r="I85" s="40">
        <v>2327.77</v>
      </c>
      <c r="J85" s="17">
        <v>37.950000000000003</v>
      </c>
      <c r="K85" s="14">
        <v>0</v>
      </c>
      <c r="L85" s="17">
        <v>721.05</v>
      </c>
    </row>
    <row r="86" spans="1:12" x14ac:dyDescent="0.25">
      <c r="A86" s="32">
        <v>41235</v>
      </c>
      <c r="B86" s="18" t="s">
        <v>125</v>
      </c>
      <c r="C86" s="15">
        <v>7347856</v>
      </c>
      <c r="D86" s="16" t="s">
        <v>126</v>
      </c>
      <c r="E86" s="20">
        <v>519851</v>
      </c>
      <c r="F86" s="14">
        <v>1651.46</v>
      </c>
      <c r="G86" s="14">
        <v>330.29</v>
      </c>
      <c r="H86" s="14">
        <v>1321.17</v>
      </c>
      <c r="I86" s="40"/>
      <c r="J86" s="17">
        <v>66.058500000000009</v>
      </c>
      <c r="K86" s="14">
        <v>0</v>
      </c>
      <c r="L86" s="17">
        <v>1255.1115</v>
      </c>
    </row>
    <row r="87" spans="1:12" x14ac:dyDescent="0.25">
      <c r="A87" s="32">
        <v>41235</v>
      </c>
      <c r="B87" s="18" t="s">
        <v>125</v>
      </c>
      <c r="C87" s="15">
        <v>7347856</v>
      </c>
      <c r="D87" s="16" t="s">
        <v>126</v>
      </c>
      <c r="E87" s="20">
        <v>519852</v>
      </c>
      <c r="F87" s="14">
        <v>308</v>
      </c>
      <c r="G87" s="14">
        <v>60.4</v>
      </c>
      <c r="H87" s="14">
        <v>247.6</v>
      </c>
      <c r="I87" s="40"/>
      <c r="J87" s="17">
        <v>12.38</v>
      </c>
      <c r="K87" s="14">
        <v>0</v>
      </c>
      <c r="L87" s="17">
        <v>235.22</v>
      </c>
    </row>
    <row r="88" spans="1:12" x14ac:dyDescent="0.25">
      <c r="A88" s="32">
        <v>41235</v>
      </c>
      <c r="B88" s="18" t="s">
        <v>127</v>
      </c>
      <c r="C88" s="15">
        <v>7312149</v>
      </c>
      <c r="D88" s="16" t="s">
        <v>128</v>
      </c>
      <c r="E88" s="20">
        <v>519871</v>
      </c>
      <c r="F88" s="14">
        <v>682.5</v>
      </c>
      <c r="G88" s="14">
        <v>136.5</v>
      </c>
      <c r="H88" s="14">
        <v>546</v>
      </c>
      <c r="I88" s="25"/>
      <c r="J88" s="17">
        <v>27.3</v>
      </c>
      <c r="K88" s="14">
        <v>0</v>
      </c>
      <c r="L88" s="17">
        <v>518.70000000000005</v>
      </c>
    </row>
    <row r="89" spans="1:12" x14ac:dyDescent="0.25">
      <c r="A89" s="32">
        <v>41235</v>
      </c>
      <c r="B89" s="18" t="s">
        <v>129</v>
      </c>
      <c r="C89" s="15">
        <v>13510180</v>
      </c>
      <c r="D89" s="16" t="s">
        <v>130</v>
      </c>
      <c r="E89" s="20">
        <v>519994</v>
      </c>
      <c r="F89" s="14">
        <v>645</v>
      </c>
      <c r="G89" s="14">
        <v>129</v>
      </c>
      <c r="H89" s="14">
        <v>516</v>
      </c>
      <c r="I89" s="40">
        <v>728.15</v>
      </c>
      <c r="J89" s="17">
        <v>25.8</v>
      </c>
      <c r="K89" s="14">
        <v>0</v>
      </c>
      <c r="L89" s="17">
        <v>490.2</v>
      </c>
    </row>
    <row r="90" spans="1:12" x14ac:dyDescent="0.25">
      <c r="A90" s="32">
        <v>41236</v>
      </c>
      <c r="B90" s="18" t="s">
        <v>129</v>
      </c>
      <c r="C90" s="15">
        <v>13510180</v>
      </c>
      <c r="D90" s="16" t="s">
        <v>130</v>
      </c>
      <c r="E90" s="20">
        <v>519995</v>
      </c>
      <c r="F90" s="14">
        <v>265.19</v>
      </c>
      <c r="G90" s="14">
        <v>53.04</v>
      </c>
      <c r="H90" s="14">
        <v>212.15</v>
      </c>
      <c r="I90" s="40"/>
      <c r="J90" s="17">
        <v>10.607500000000002</v>
      </c>
      <c r="K90" s="14">
        <v>0</v>
      </c>
      <c r="L90" s="17">
        <v>201.54250000000002</v>
      </c>
    </row>
    <row r="91" spans="1:12" x14ac:dyDescent="0.25">
      <c r="A91" s="32">
        <v>41236</v>
      </c>
      <c r="B91" s="18" t="s">
        <v>131</v>
      </c>
      <c r="C91" s="15">
        <v>16137706</v>
      </c>
      <c r="D91" s="16" t="s">
        <v>132</v>
      </c>
      <c r="E91" s="20">
        <v>520184</v>
      </c>
      <c r="F91" s="14">
        <v>178</v>
      </c>
      <c r="G91" s="14">
        <v>31.6</v>
      </c>
      <c r="H91" s="14">
        <v>146.4</v>
      </c>
      <c r="I91" s="25"/>
      <c r="J91" s="17">
        <v>7.32</v>
      </c>
      <c r="K91" s="14">
        <v>0</v>
      </c>
      <c r="L91" s="17">
        <v>139.08000000000001</v>
      </c>
    </row>
    <row r="92" spans="1:12" x14ac:dyDescent="0.25">
      <c r="A92" s="32">
        <v>41236</v>
      </c>
      <c r="B92" s="18" t="s">
        <v>133</v>
      </c>
      <c r="C92" s="15">
        <v>15668151</v>
      </c>
      <c r="D92" s="16" t="s">
        <v>134</v>
      </c>
      <c r="E92" s="20">
        <v>519849</v>
      </c>
      <c r="F92" s="14">
        <v>1256</v>
      </c>
      <c r="G92" s="14">
        <v>251.2</v>
      </c>
      <c r="H92" s="14">
        <v>1004.8</v>
      </c>
      <c r="I92" s="40">
        <v>1273.98</v>
      </c>
      <c r="J92" s="17">
        <v>50.24</v>
      </c>
      <c r="K92" s="14">
        <v>0</v>
      </c>
      <c r="L92" s="17">
        <v>954.56</v>
      </c>
    </row>
    <row r="93" spans="1:12" x14ac:dyDescent="0.25">
      <c r="A93" s="32">
        <v>41236</v>
      </c>
      <c r="B93" s="18" t="s">
        <v>133</v>
      </c>
      <c r="C93" s="15">
        <v>15668151</v>
      </c>
      <c r="D93" s="16" t="s">
        <v>134</v>
      </c>
      <c r="E93" s="20">
        <v>520163</v>
      </c>
      <c r="F93" s="14">
        <v>336.48</v>
      </c>
      <c r="G93" s="14">
        <v>67.3</v>
      </c>
      <c r="H93" s="14">
        <v>269.18</v>
      </c>
      <c r="I93" s="40"/>
      <c r="J93" s="17">
        <v>13.459000000000001</v>
      </c>
      <c r="K93" s="14">
        <v>0</v>
      </c>
      <c r="L93" s="17">
        <v>255.721</v>
      </c>
    </row>
    <row r="94" spans="1:12" x14ac:dyDescent="0.25">
      <c r="A94" s="32">
        <v>41237</v>
      </c>
      <c r="B94" s="18" t="s">
        <v>135</v>
      </c>
      <c r="C94" s="15">
        <v>7449457</v>
      </c>
      <c r="D94" s="16" t="s">
        <v>136</v>
      </c>
      <c r="E94" s="20">
        <v>519842</v>
      </c>
      <c r="F94" s="14">
        <v>96.32</v>
      </c>
      <c r="G94" s="14">
        <v>19.27</v>
      </c>
      <c r="H94" s="14">
        <v>77.05</v>
      </c>
      <c r="I94" s="22"/>
      <c r="J94" s="17">
        <v>3.8525</v>
      </c>
      <c r="K94" s="14">
        <v>0</v>
      </c>
      <c r="L94" s="17">
        <v>73.197499999999991</v>
      </c>
    </row>
    <row r="95" spans="1:12" x14ac:dyDescent="0.25">
      <c r="A95" s="32">
        <v>41237</v>
      </c>
      <c r="B95" s="18" t="s">
        <v>137</v>
      </c>
      <c r="C95" s="15">
        <v>5436619</v>
      </c>
      <c r="D95" s="16" t="s">
        <v>138</v>
      </c>
      <c r="E95" s="20">
        <v>520063</v>
      </c>
      <c r="F95" s="14">
        <v>1980</v>
      </c>
      <c r="G95" s="14">
        <v>396</v>
      </c>
      <c r="H95" s="14">
        <v>1584</v>
      </c>
      <c r="I95" s="25"/>
      <c r="J95" s="17">
        <v>79.2</v>
      </c>
      <c r="K95" s="14">
        <v>0</v>
      </c>
      <c r="L95" s="17">
        <v>1504.8</v>
      </c>
    </row>
    <row r="96" spans="1:12" x14ac:dyDescent="0.25">
      <c r="A96" s="27"/>
      <c r="B96" s="30"/>
      <c r="C96" s="27"/>
      <c r="D96" s="27"/>
      <c r="E96" s="28"/>
      <c r="F96" s="21">
        <v>35108.480000000003</v>
      </c>
      <c r="G96" s="21">
        <v>6710.54</v>
      </c>
      <c r="H96" s="22">
        <v>28471.54</v>
      </c>
      <c r="I96" s="22"/>
      <c r="J96" s="23">
        <v>1403.2845000000002</v>
      </c>
      <c r="K96" s="29">
        <v>64.599999999999994</v>
      </c>
      <c r="L96" s="23">
        <v>27068.255500000007</v>
      </c>
    </row>
    <row r="97" spans="1:12" x14ac:dyDescent="0.25">
      <c r="A97" s="27"/>
      <c r="B97" s="27"/>
      <c r="C97" s="27"/>
      <c r="D97" s="27"/>
      <c r="E97" s="28"/>
      <c r="F97" s="21"/>
      <c r="G97" s="21"/>
      <c r="H97" s="22"/>
      <c r="I97" s="22"/>
      <c r="J97" s="23"/>
      <c r="K97" s="29"/>
      <c r="L97" s="23"/>
    </row>
    <row r="98" spans="1:12" x14ac:dyDescent="0.25">
      <c r="A98" s="27"/>
      <c r="B98" s="27"/>
      <c r="C98" s="27"/>
      <c r="D98" s="27"/>
      <c r="E98" s="28"/>
      <c r="F98" s="21"/>
      <c r="G98" s="21"/>
      <c r="H98" s="22"/>
      <c r="I98" s="22"/>
      <c r="J98" s="23"/>
      <c r="K98" s="29"/>
      <c r="L98" s="23"/>
    </row>
    <row r="99" spans="1:12" x14ac:dyDescent="0.25">
      <c r="A99" s="27"/>
      <c r="B99" s="27"/>
      <c r="C99" s="27"/>
      <c r="D99" s="27"/>
      <c r="E99" s="28"/>
      <c r="F99" s="21"/>
      <c r="G99" s="21"/>
      <c r="H99" s="22"/>
      <c r="I99" s="22"/>
      <c r="J99" s="23"/>
      <c r="K99" s="29"/>
      <c r="L99" s="23"/>
    </row>
    <row r="100" spans="1:12" x14ac:dyDescent="0.25">
      <c r="A100" s="1"/>
      <c r="B100" s="1"/>
      <c r="C100" s="1"/>
      <c r="D100" s="1"/>
      <c r="E100" s="6"/>
      <c r="F100" s="4"/>
      <c r="G100" s="4"/>
      <c r="H100" s="7"/>
      <c r="I100" s="7"/>
      <c r="J100" s="13"/>
      <c r="K100" s="3"/>
      <c r="L100" s="8"/>
    </row>
    <row r="101" spans="1:12" x14ac:dyDescent="0.25">
      <c r="A101" s="2"/>
      <c r="B101" s="59" t="s">
        <v>139</v>
      </c>
      <c r="C101" s="60"/>
      <c r="D101" s="61"/>
      <c r="E101" s="62" t="s">
        <v>140</v>
      </c>
      <c r="F101" s="62"/>
      <c r="G101" s="62"/>
      <c r="H101" s="62"/>
      <c r="I101" s="62"/>
      <c r="J101" s="63"/>
      <c r="K101" s="5"/>
      <c r="L101" s="9"/>
    </row>
    <row r="102" spans="1:12" x14ac:dyDescent="0.25">
      <c r="A102" s="2"/>
      <c r="B102" s="41"/>
      <c r="C102" s="42"/>
      <c r="D102" s="43"/>
      <c r="E102" s="47"/>
      <c r="F102" s="48"/>
      <c r="G102" s="48"/>
      <c r="H102" s="48"/>
      <c r="I102" s="48"/>
      <c r="J102" s="49"/>
      <c r="K102" s="5"/>
      <c r="L102" s="9"/>
    </row>
    <row r="103" spans="1:12" x14ac:dyDescent="0.25">
      <c r="A103" s="1"/>
      <c r="B103" s="44"/>
      <c r="C103" s="45"/>
      <c r="D103" s="46"/>
      <c r="E103" s="50"/>
      <c r="F103" s="51"/>
      <c r="G103" s="51"/>
      <c r="H103" s="51"/>
      <c r="I103" s="51"/>
      <c r="J103" s="52"/>
      <c r="K103" s="1"/>
      <c r="L103" s="1"/>
    </row>
    <row r="104" spans="1:12" x14ac:dyDescent="0.25">
      <c r="A104" s="1"/>
      <c r="B104" s="33" t="s">
        <v>141</v>
      </c>
      <c r="C104" s="34"/>
      <c r="D104" s="35"/>
      <c r="E104" s="36" t="s">
        <v>142</v>
      </c>
      <c r="F104" s="37"/>
      <c r="G104" s="37"/>
      <c r="H104" s="37"/>
      <c r="I104" s="37"/>
      <c r="J104" s="38"/>
      <c r="K104" s="1"/>
      <c r="L104" s="1"/>
    </row>
  </sheetData>
  <mergeCells count="35">
    <mergeCell ref="I50:I51"/>
    <mergeCell ref="I56:I57"/>
    <mergeCell ref="I60:I61"/>
    <mergeCell ref="A3:L3"/>
    <mergeCell ref="A4:L4"/>
    <mergeCell ref="A5:L5"/>
    <mergeCell ref="A6:L6"/>
    <mergeCell ref="B101:D101"/>
    <mergeCell ref="E101:J101"/>
    <mergeCell ref="I89:I90"/>
    <mergeCell ref="I85:I87"/>
    <mergeCell ref="I92:I93"/>
    <mergeCell ref="I63:I64"/>
    <mergeCell ref="I65:I66"/>
    <mergeCell ref="I67:I68"/>
    <mergeCell ref="I76:I77"/>
    <mergeCell ref="I82:I83"/>
    <mergeCell ref="I44:I45"/>
    <mergeCell ref="I47:I48"/>
    <mergeCell ref="B104:D104"/>
    <mergeCell ref="E104:J104"/>
    <mergeCell ref="A7:L7"/>
    <mergeCell ref="I11:I12"/>
    <mergeCell ref="I14:I17"/>
    <mergeCell ref="I19:I20"/>
    <mergeCell ref="I28:I29"/>
    <mergeCell ref="I31:I32"/>
    <mergeCell ref="I33:I34"/>
    <mergeCell ref="I37:I39"/>
    <mergeCell ref="I40:I41"/>
    <mergeCell ref="I42:I43"/>
    <mergeCell ref="B102:D103"/>
    <mergeCell ref="E102:J103"/>
    <mergeCell ref="A8:L8"/>
    <mergeCell ref="H9:I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workbookViewId="0"/>
  </sheetViews>
  <sheetFormatPr baseColWidth="10" defaultRowHeight="15" x14ac:dyDescent="0.25"/>
  <sheetData>
    <row r="1" spans="1:6" x14ac:dyDescent="0.25">
      <c r="A1" t="s">
        <v>143</v>
      </c>
      <c r="B1">
        <f>+Hoja1!C10</f>
        <v>10126656</v>
      </c>
      <c r="C1" t="str">
        <f>+Hoja1!B10</f>
        <v>ALVARADO  RAFAEL</v>
      </c>
      <c r="D1">
        <f>+Hoja1!H10</f>
        <v>384.28</v>
      </c>
      <c r="E1">
        <f>+Hoja1!J10</f>
        <v>19.213999999999999</v>
      </c>
      <c r="F1">
        <f>+Hoja1!L10</f>
        <v>365.06599999999997</v>
      </c>
    </row>
    <row r="2" spans="1:6" x14ac:dyDescent="0.25">
      <c r="A2" t="s">
        <v>143</v>
      </c>
      <c r="B2">
        <f>+Hoja1!C11</f>
        <v>7374616</v>
      </c>
      <c r="C2" t="str">
        <f>+Hoja1!B11</f>
        <v>AMARO  ANA</v>
      </c>
      <c r="D2">
        <f>+Hoja1!H11</f>
        <v>473.6</v>
      </c>
      <c r="E2">
        <f>+Hoja1!J11</f>
        <v>23.680000000000003</v>
      </c>
      <c r="F2">
        <f>+Hoja1!L11</f>
        <v>449.92</v>
      </c>
    </row>
    <row r="3" spans="1:6" x14ac:dyDescent="0.25">
      <c r="A3" t="s">
        <v>143</v>
      </c>
      <c r="B3">
        <f>+Hoja1!C12</f>
        <v>7374616</v>
      </c>
      <c r="C3" t="str">
        <f>+Hoja1!B12</f>
        <v>AMARO  ANA</v>
      </c>
      <c r="D3">
        <f>+Hoja1!H12</f>
        <v>164.8</v>
      </c>
      <c r="E3">
        <f>+Hoja1!J12</f>
        <v>8.24</v>
      </c>
      <c r="F3">
        <f>+Hoja1!L12</f>
        <v>156.56</v>
      </c>
    </row>
    <row r="4" spans="1:6" x14ac:dyDescent="0.25">
      <c r="A4" t="s">
        <v>143</v>
      </c>
      <c r="B4">
        <f>+Hoja1!C13</f>
        <v>10849906</v>
      </c>
      <c r="C4" t="str">
        <f>+Hoja1!B13</f>
        <v>APOSTOL R. CARLOS</v>
      </c>
      <c r="D4">
        <f>+Hoja1!H13</f>
        <v>395.94</v>
      </c>
      <c r="E4">
        <f>+Hoja1!J13</f>
        <v>19.797000000000001</v>
      </c>
      <c r="F4">
        <f>+Hoja1!L13</f>
        <v>376.14299999999997</v>
      </c>
    </row>
    <row r="5" spans="1:6" x14ac:dyDescent="0.25">
      <c r="A5" t="s">
        <v>143</v>
      </c>
      <c r="B5">
        <f>+Hoja1!C14</f>
        <v>9553047</v>
      </c>
      <c r="C5" t="str">
        <f>+Hoja1!B14</f>
        <v>ARRIECHE IVONNE</v>
      </c>
      <c r="D5">
        <f>+Hoja1!H14</f>
        <v>276.91000000000003</v>
      </c>
      <c r="E5">
        <f>+Hoja1!J14</f>
        <v>13.845500000000001</v>
      </c>
      <c r="F5">
        <f>+Hoja1!L14</f>
        <v>263.06450000000001</v>
      </c>
    </row>
    <row r="6" spans="1:6" x14ac:dyDescent="0.25">
      <c r="A6" t="s">
        <v>143</v>
      </c>
      <c r="B6">
        <f>+Hoja1!C15</f>
        <v>9553047</v>
      </c>
      <c r="C6" t="str">
        <f>+Hoja1!B15</f>
        <v>ARRIECHE IVONNE</v>
      </c>
      <c r="D6">
        <f>+Hoja1!H15</f>
        <v>127.2</v>
      </c>
      <c r="E6">
        <f>+Hoja1!J15</f>
        <v>6.36</v>
      </c>
      <c r="F6">
        <f>+Hoja1!L15</f>
        <v>120.84</v>
      </c>
    </row>
    <row r="7" spans="1:6" x14ac:dyDescent="0.25">
      <c r="A7" t="s">
        <v>143</v>
      </c>
      <c r="B7">
        <f>+Hoja1!C16</f>
        <v>9553047</v>
      </c>
      <c r="C7" t="str">
        <f>+Hoja1!B16</f>
        <v>ARRIECHE IVONNE</v>
      </c>
      <c r="D7">
        <f>+Hoja1!H16</f>
        <v>333.78</v>
      </c>
      <c r="E7">
        <f>+Hoja1!J16</f>
        <v>16.689</v>
      </c>
      <c r="F7">
        <f>+Hoja1!L16</f>
        <v>317.09099999999995</v>
      </c>
    </row>
    <row r="8" spans="1:6" x14ac:dyDescent="0.25">
      <c r="A8" t="s">
        <v>143</v>
      </c>
      <c r="B8">
        <f>+Hoja1!C17</f>
        <v>9553047</v>
      </c>
      <c r="C8" t="str">
        <f>+Hoja1!B17</f>
        <v>ARRIECHE IVONNE</v>
      </c>
      <c r="D8">
        <f>+Hoja1!H17</f>
        <v>433.02</v>
      </c>
      <c r="E8">
        <f>+Hoja1!J17</f>
        <v>21.651</v>
      </c>
      <c r="F8">
        <f>+Hoja1!L17</f>
        <v>411.36899999999997</v>
      </c>
    </row>
    <row r="9" spans="1:6" x14ac:dyDescent="0.25">
      <c r="A9" t="s">
        <v>143</v>
      </c>
      <c r="B9">
        <f>+Hoja1!C18</f>
        <v>7344290</v>
      </c>
      <c r="C9" t="str">
        <f>+Hoja1!B18</f>
        <v>BELLO LAYA JULIO</v>
      </c>
      <c r="D9">
        <f>+Hoja1!H18</f>
        <v>130.19</v>
      </c>
      <c r="E9">
        <f>+Hoja1!J18</f>
        <v>6.5095000000000001</v>
      </c>
      <c r="F9">
        <f>+Hoja1!L18</f>
        <v>123.68049999999999</v>
      </c>
    </row>
    <row r="10" spans="1:6" x14ac:dyDescent="0.25">
      <c r="A10" t="s">
        <v>143</v>
      </c>
      <c r="B10">
        <f>+Hoja1!C19</f>
        <v>3878006</v>
      </c>
      <c r="C10" t="str">
        <f>+Hoja1!B19</f>
        <v>BULLONES  PASTOR</v>
      </c>
      <c r="D10">
        <f>+Hoja1!H19</f>
        <v>271.98</v>
      </c>
      <c r="E10">
        <f>+Hoja1!J19</f>
        <v>13.599000000000002</v>
      </c>
      <c r="F10">
        <f>+Hoja1!L19</f>
        <v>258.38100000000003</v>
      </c>
    </row>
    <row r="11" spans="1:6" x14ac:dyDescent="0.25">
      <c r="A11" t="s">
        <v>143</v>
      </c>
      <c r="B11">
        <f>+Hoja1!C20</f>
        <v>3878006</v>
      </c>
      <c r="C11" t="str">
        <f>+Hoja1!B20</f>
        <v>BULLONES PASTOR</v>
      </c>
      <c r="D11">
        <f>+Hoja1!H20</f>
        <v>208.03</v>
      </c>
      <c r="E11">
        <f>+Hoja1!J20</f>
        <v>0</v>
      </c>
      <c r="F11">
        <f>+Hoja1!L20</f>
        <v>208.03</v>
      </c>
    </row>
    <row r="12" spans="1:6" x14ac:dyDescent="0.25">
      <c r="A12" t="s">
        <v>143</v>
      </c>
      <c r="B12">
        <f>+Hoja1!C21</f>
        <v>9620720</v>
      </c>
      <c r="C12" t="str">
        <f>+Hoja1!B21</f>
        <v>CARMONA HORACIO</v>
      </c>
      <c r="D12">
        <f>+Hoja1!H21</f>
        <v>537.36</v>
      </c>
      <c r="E12">
        <f>+Hoja1!J21</f>
        <v>26.868000000000002</v>
      </c>
      <c r="F12">
        <f>+Hoja1!L21</f>
        <v>510.49200000000002</v>
      </c>
    </row>
    <row r="13" spans="1:6" x14ac:dyDescent="0.25">
      <c r="A13" t="s">
        <v>143</v>
      </c>
      <c r="B13">
        <f>+Hoja1!C22</f>
        <v>12314254</v>
      </c>
      <c r="C13" t="str">
        <f>+Hoja1!B22</f>
        <v>CASTELLANOS VICENTE</v>
      </c>
      <c r="D13">
        <f>+Hoja1!H22</f>
        <v>396.8</v>
      </c>
      <c r="E13">
        <f>+Hoja1!J22</f>
        <v>19.840000000000003</v>
      </c>
      <c r="F13">
        <f>+Hoja1!L22</f>
        <v>376.96000000000004</v>
      </c>
    </row>
    <row r="14" spans="1:6" x14ac:dyDescent="0.25">
      <c r="A14" t="s">
        <v>143</v>
      </c>
      <c r="B14">
        <f>+Hoja1!C23</f>
        <v>10846532</v>
      </c>
      <c r="C14" t="str">
        <f>+Hoja1!B23</f>
        <v>CASTILLO JOSE</v>
      </c>
      <c r="D14">
        <f>+Hoja1!H23</f>
        <v>1192</v>
      </c>
      <c r="E14">
        <f>+Hoja1!J23</f>
        <v>59.6</v>
      </c>
      <c r="F14">
        <f>+Hoja1!L23</f>
        <v>1132.4000000000001</v>
      </c>
    </row>
    <row r="15" spans="1:6" x14ac:dyDescent="0.25">
      <c r="A15" t="s">
        <v>143</v>
      </c>
      <c r="B15">
        <f>+Hoja1!C24</f>
        <v>4375498</v>
      </c>
      <c r="C15" t="str">
        <f>+Hoja1!B24</f>
        <v>COLMENAREZ  JOSE</v>
      </c>
      <c r="D15">
        <f>+Hoja1!H24</f>
        <v>182.4</v>
      </c>
      <c r="E15">
        <f>+Hoja1!J24</f>
        <v>9.120000000000001</v>
      </c>
      <c r="F15">
        <f>+Hoja1!L24</f>
        <v>173.28</v>
      </c>
    </row>
    <row r="16" spans="1:6" x14ac:dyDescent="0.25">
      <c r="A16" t="s">
        <v>143</v>
      </c>
      <c r="B16">
        <f>+Hoja1!C25</f>
        <v>7316059</v>
      </c>
      <c r="C16" t="str">
        <f>+Hoja1!B25</f>
        <v>COLMENAREZ CARLOS</v>
      </c>
      <c r="D16">
        <f>+Hoja1!H25</f>
        <v>100.39</v>
      </c>
      <c r="E16">
        <f>+Hoja1!J25</f>
        <v>5.0195000000000007</v>
      </c>
      <c r="F16">
        <f>+Hoja1!L25</f>
        <v>95.370499999999993</v>
      </c>
    </row>
    <row r="17" spans="1:6" x14ac:dyDescent="0.25">
      <c r="A17" t="s">
        <v>143</v>
      </c>
      <c r="B17">
        <f>+Hoja1!C26</f>
        <v>9609337</v>
      </c>
      <c r="C17" t="str">
        <f>+Hoja1!B26</f>
        <v>CORRALES CLARISA</v>
      </c>
      <c r="D17">
        <f>+Hoja1!H26</f>
        <v>688.8</v>
      </c>
      <c r="E17">
        <f>+Hoja1!J26</f>
        <v>34.44</v>
      </c>
      <c r="F17">
        <f>+Hoja1!L26</f>
        <v>654.3599999999999</v>
      </c>
    </row>
    <row r="18" spans="1:6" x14ac:dyDescent="0.25">
      <c r="A18" t="s">
        <v>143</v>
      </c>
      <c r="B18">
        <f>+Hoja1!C27</f>
        <v>9211039</v>
      </c>
      <c r="C18" t="str">
        <f>+Hoja1!B27</f>
        <v>DAVILA CHACON INGRID</v>
      </c>
      <c r="D18">
        <f>+Hoja1!H27</f>
        <v>120</v>
      </c>
      <c r="E18">
        <f>+Hoja1!J27</f>
        <v>6</v>
      </c>
      <c r="F18">
        <f>+Hoja1!L27</f>
        <v>114</v>
      </c>
    </row>
    <row r="19" spans="1:6" x14ac:dyDescent="0.25">
      <c r="A19" t="s">
        <v>143</v>
      </c>
      <c r="B19">
        <f>+Hoja1!C28</f>
        <v>10846474</v>
      </c>
      <c r="C19" t="str">
        <f>+Hoja1!B28</f>
        <v>DUARTE  GENRY</v>
      </c>
      <c r="D19">
        <f>+Hoja1!H28</f>
        <v>307.62</v>
      </c>
      <c r="E19">
        <f>+Hoja1!J28</f>
        <v>15.381</v>
      </c>
      <c r="F19">
        <f>+Hoja1!L28</f>
        <v>292.23900000000003</v>
      </c>
    </row>
    <row r="20" spans="1:6" x14ac:dyDescent="0.25">
      <c r="A20" t="s">
        <v>143</v>
      </c>
      <c r="B20">
        <f>+Hoja1!C29</f>
        <v>10846474</v>
      </c>
      <c r="C20" t="str">
        <f>+Hoja1!B29</f>
        <v>DUARTE  GENRY</v>
      </c>
      <c r="D20">
        <f>+Hoja1!H29</f>
        <v>46.14</v>
      </c>
      <c r="E20">
        <f>+Hoja1!J29</f>
        <v>2.3069999999999999</v>
      </c>
      <c r="F20">
        <f>+Hoja1!L29</f>
        <v>43.832999999999998</v>
      </c>
    </row>
    <row r="21" spans="1:6" x14ac:dyDescent="0.25">
      <c r="A21" t="s">
        <v>143</v>
      </c>
      <c r="B21">
        <f>+Hoja1!C30</f>
        <v>4727740</v>
      </c>
      <c r="C21" t="str">
        <f>+Hoja1!B30</f>
        <v>DURAN  ADRIAN</v>
      </c>
      <c r="D21">
        <f>+Hoja1!H30</f>
        <v>53.2</v>
      </c>
      <c r="E21">
        <f>+Hoja1!J30</f>
        <v>2.66</v>
      </c>
      <c r="F21">
        <f>+Hoja1!L30</f>
        <v>50.540000000000006</v>
      </c>
    </row>
    <row r="22" spans="1:6" x14ac:dyDescent="0.25">
      <c r="A22" t="s">
        <v>143</v>
      </c>
      <c r="B22">
        <f>+Hoja1!C31</f>
        <v>9620701</v>
      </c>
      <c r="C22" t="str">
        <f>+Hoja1!B31</f>
        <v>ESCALONA DIONICIO</v>
      </c>
      <c r="D22">
        <f>+Hoja1!H31</f>
        <v>518.4</v>
      </c>
      <c r="E22">
        <f>+Hoja1!J31</f>
        <v>25.92</v>
      </c>
      <c r="F22">
        <f>+Hoja1!L31</f>
        <v>492.47999999999996</v>
      </c>
    </row>
    <row r="23" spans="1:6" x14ac:dyDescent="0.25">
      <c r="A23" t="s">
        <v>143</v>
      </c>
      <c r="B23">
        <f>+Hoja1!C32</f>
        <v>9620701</v>
      </c>
      <c r="C23" t="str">
        <f>+Hoja1!B32</f>
        <v>ESCALONA DIONICIO</v>
      </c>
      <c r="D23">
        <f>+Hoja1!H32</f>
        <v>151.75</v>
      </c>
      <c r="E23">
        <f>+Hoja1!J32</f>
        <v>7.5875000000000004</v>
      </c>
      <c r="F23">
        <f>+Hoja1!L32</f>
        <v>144.16249999999999</v>
      </c>
    </row>
    <row r="24" spans="1:6" x14ac:dyDescent="0.25">
      <c r="A24" t="s">
        <v>143</v>
      </c>
      <c r="B24">
        <f>+Hoja1!C33</f>
        <v>13527636</v>
      </c>
      <c r="C24" t="str">
        <f>+Hoja1!B33</f>
        <v>GARCIA RUBEN</v>
      </c>
      <c r="D24">
        <f>+Hoja1!H33</f>
        <v>473.6</v>
      </c>
      <c r="E24">
        <f>+Hoja1!J33</f>
        <v>23.680000000000003</v>
      </c>
      <c r="F24">
        <f>+Hoja1!L33</f>
        <v>449.92</v>
      </c>
    </row>
    <row r="25" spans="1:6" x14ac:dyDescent="0.25">
      <c r="A25" t="s">
        <v>143</v>
      </c>
      <c r="B25">
        <f>+Hoja1!C34</f>
        <v>13527636</v>
      </c>
      <c r="C25" t="str">
        <f>+Hoja1!B34</f>
        <v>GARCIA RUBEN</v>
      </c>
      <c r="D25">
        <f>+Hoja1!H34</f>
        <v>50</v>
      </c>
      <c r="E25">
        <f>+Hoja1!J34</f>
        <v>0</v>
      </c>
      <c r="F25">
        <f>+Hoja1!L34</f>
        <v>50</v>
      </c>
    </row>
    <row r="26" spans="1:6" x14ac:dyDescent="0.25">
      <c r="A26" t="s">
        <v>143</v>
      </c>
      <c r="B26">
        <f>+Hoja1!C35</f>
        <v>12704927</v>
      </c>
      <c r="C26" t="str">
        <f>+Hoja1!B35</f>
        <v>GOMEZ MEDINA JUAN</v>
      </c>
      <c r="D26">
        <f>+Hoja1!H35</f>
        <v>50</v>
      </c>
      <c r="E26">
        <f>+Hoja1!J35</f>
        <v>0</v>
      </c>
      <c r="F26">
        <f>+Hoja1!L35</f>
        <v>50</v>
      </c>
    </row>
    <row r="27" spans="1:6" x14ac:dyDescent="0.25">
      <c r="A27" t="s">
        <v>143</v>
      </c>
      <c r="B27">
        <f>+Hoja1!C36</f>
        <v>9552709</v>
      </c>
      <c r="C27" t="str">
        <f>+Hoja1!B36</f>
        <v>GOMEZ MIRNA</v>
      </c>
      <c r="D27">
        <f>+Hoja1!H36</f>
        <v>533.13</v>
      </c>
      <c r="E27">
        <f>+Hoja1!J36</f>
        <v>26.656500000000001</v>
      </c>
      <c r="F27">
        <f>+Hoja1!L36</f>
        <v>506.4735</v>
      </c>
    </row>
    <row r="28" spans="1:6" x14ac:dyDescent="0.25">
      <c r="A28" t="s">
        <v>143</v>
      </c>
      <c r="B28">
        <f>+Hoja1!C37</f>
        <v>7447067</v>
      </c>
      <c r="C28" t="str">
        <f>+Hoja1!B37</f>
        <v>GONZALEZ GERARDO</v>
      </c>
      <c r="D28">
        <f>+Hoja1!H37</f>
        <v>288.48</v>
      </c>
      <c r="E28">
        <f>+Hoja1!J37</f>
        <v>14.424000000000001</v>
      </c>
      <c r="F28">
        <f>+Hoja1!L37</f>
        <v>274.05600000000004</v>
      </c>
    </row>
    <row r="29" spans="1:6" x14ac:dyDescent="0.25">
      <c r="A29" t="s">
        <v>143</v>
      </c>
      <c r="B29">
        <f>+Hoja1!C38</f>
        <v>7447067</v>
      </c>
      <c r="C29" t="str">
        <f>+Hoja1!B38</f>
        <v>GONZALEZ GERARDO</v>
      </c>
      <c r="D29">
        <f>+Hoja1!H38</f>
        <v>305.29000000000002</v>
      </c>
      <c r="E29">
        <f>+Hoja1!J38</f>
        <v>15.264500000000002</v>
      </c>
      <c r="F29">
        <f>+Hoja1!L38</f>
        <v>290.02550000000002</v>
      </c>
    </row>
    <row r="30" spans="1:6" x14ac:dyDescent="0.25">
      <c r="A30" t="s">
        <v>143</v>
      </c>
      <c r="B30">
        <f>+Hoja1!C39</f>
        <v>7447067</v>
      </c>
      <c r="C30" t="str">
        <f>+Hoja1!B39</f>
        <v>GONZALEZ GERARDO</v>
      </c>
      <c r="D30">
        <f>+Hoja1!H39</f>
        <v>663.2</v>
      </c>
      <c r="E30">
        <f>+Hoja1!J39</f>
        <v>33.160000000000004</v>
      </c>
      <c r="F30">
        <f>+Hoja1!L39</f>
        <v>630.04000000000008</v>
      </c>
    </row>
    <row r="31" spans="1:6" x14ac:dyDescent="0.25">
      <c r="A31" t="s">
        <v>143</v>
      </c>
      <c r="B31">
        <f>+Hoja1!C40</f>
        <v>9615964</v>
      </c>
      <c r="C31" t="str">
        <f>+Hoja1!B40</f>
        <v>GRATEROL YAILILI</v>
      </c>
      <c r="D31">
        <f>+Hoja1!H40</f>
        <v>385.71</v>
      </c>
      <c r="E31">
        <f>+Hoja1!J40</f>
        <v>19.285499999999999</v>
      </c>
      <c r="F31">
        <f>+Hoja1!L40</f>
        <v>366.42449999999997</v>
      </c>
    </row>
    <row r="32" spans="1:6" x14ac:dyDescent="0.25">
      <c r="A32" t="s">
        <v>143</v>
      </c>
      <c r="B32">
        <f>+Hoja1!C41</f>
        <v>9615964</v>
      </c>
      <c r="C32" t="str">
        <f>+Hoja1!B41</f>
        <v>GRATEROL YAILILI</v>
      </c>
      <c r="D32">
        <f>+Hoja1!H41</f>
        <v>40.22</v>
      </c>
      <c r="E32">
        <f>+Hoja1!J41</f>
        <v>2.0110000000000001</v>
      </c>
      <c r="F32">
        <f>+Hoja1!L41</f>
        <v>38.208999999999996</v>
      </c>
    </row>
    <row r="33" spans="1:6" x14ac:dyDescent="0.25">
      <c r="A33" t="s">
        <v>143</v>
      </c>
      <c r="B33">
        <f>+Hoja1!C42</f>
        <v>7426046</v>
      </c>
      <c r="C33" t="str">
        <f>+Hoja1!B42</f>
        <v>GUASIMUCARO HENRY</v>
      </c>
      <c r="D33">
        <f>+Hoja1!H42</f>
        <v>892.87</v>
      </c>
      <c r="E33">
        <f>+Hoja1!J42</f>
        <v>44.643500000000003</v>
      </c>
      <c r="F33">
        <f>+Hoja1!L42</f>
        <v>848.22649999999999</v>
      </c>
    </row>
    <row r="34" spans="1:6" x14ac:dyDescent="0.25">
      <c r="A34" t="s">
        <v>143</v>
      </c>
      <c r="B34">
        <f>+Hoja1!C43</f>
        <v>7426046</v>
      </c>
      <c r="C34" t="str">
        <f>+Hoja1!B43</f>
        <v>GUASIMUCARO HENRY</v>
      </c>
      <c r="D34">
        <f>+Hoja1!H43</f>
        <v>76</v>
      </c>
      <c r="E34">
        <f>+Hoja1!J43</f>
        <v>3.8000000000000003</v>
      </c>
      <c r="F34">
        <f>+Hoja1!L43</f>
        <v>72.2</v>
      </c>
    </row>
    <row r="35" spans="1:6" x14ac:dyDescent="0.25">
      <c r="A35" t="s">
        <v>143</v>
      </c>
      <c r="B35">
        <f>+Hoja1!C44</f>
        <v>7309375</v>
      </c>
      <c r="C35" t="str">
        <f>+Hoja1!B44</f>
        <v>GUERRA  JOSE</v>
      </c>
      <c r="D35">
        <f>+Hoja1!H44</f>
        <v>278.39999999999998</v>
      </c>
      <c r="E35">
        <f>+Hoja1!J44</f>
        <v>13.92</v>
      </c>
      <c r="F35">
        <f>+Hoja1!L44</f>
        <v>264.47999999999996</v>
      </c>
    </row>
    <row r="36" spans="1:6" x14ac:dyDescent="0.25">
      <c r="A36" t="s">
        <v>143</v>
      </c>
      <c r="B36">
        <f>+Hoja1!C45</f>
        <v>7309375</v>
      </c>
      <c r="C36" t="str">
        <f>+Hoja1!B45</f>
        <v>GUERRA  JOSE</v>
      </c>
      <c r="D36">
        <f>+Hoja1!H45</f>
        <v>264</v>
      </c>
      <c r="E36">
        <f>+Hoja1!J45</f>
        <v>13.200000000000001</v>
      </c>
      <c r="F36">
        <f>+Hoja1!L45</f>
        <v>250.8</v>
      </c>
    </row>
    <row r="37" spans="1:6" x14ac:dyDescent="0.25">
      <c r="A37" t="s">
        <v>143</v>
      </c>
      <c r="B37">
        <f>+Hoja1!C46</f>
        <v>4739796</v>
      </c>
      <c r="C37" t="str">
        <f>+Hoja1!B46</f>
        <v>HUGGINS ALVES</v>
      </c>
      <c r="D37">
        <f>+Hoja1!H46</f>
        <v>315.85000000000002</v>
      </c>
      <c r="E37">
        <f>+Hoja1!J46</f>
        <v>15.792500000000002</v>
      </c>
      <c r="F37">
        <f>+Hoja1!L46</f>
        <v>300.0575</v>
      </c>
    </row>
    <row r="38" spans="1:6" x14ac:dyDescent="0.25">
      <c r="A38" t="s">
        <v>143</v>
      </c>
      <c r="B38">
        <f>+Hoja1!C47</f>
        <v>4731494</v>
      </c>
      <c r="C38" t="str">
        <f>+Hoja1!B47</f>
        <v>JIMENEZ EDGAR SOLANO</v>
      </c>
      <c r="D38">
        <f>+Hoja1!H47</f>
        <v>63.97</v>
      </c>
      <c r="E38">
        <f>+Hoja1!J47</f>
        <v>3.1985000000000001</v>
      </c>
      <c r="F38">
        <f>+Hoja1!L47</f>
        <v>60.771499999999996</v>
      </c>
    </row>
    <row r="39" spans="1:6" x14ac:dyDescent="0.25">
      <c r="A39" t="s">
        <v>143</v>
      </c>
      <c r="B39">
        <f>+Hoja1!C48</f>
        <v>4731494</v>
      </c>
      <c r="C39" t="str">
        <f>+Hoja1!B48</f>
        <v>JIMENEZ EDGAR SOLANO</v>
      </c>
      <c r="D39">
        <f>+Hoja1!H48</f>
        <v>27.32</v>
      </c>
      <c r="E39">
        <f>+Hoja1!J48</f>
        <v>0</v>
      </c>
      <c r="F39">
        <f>+Hoja1!L48</f>
        <v>27.32</v>
      </c>
    </row>
    <row r="40" spans="1:6" x14ac:dyDescent="0.25">
      <c r="A40" t="s">
        <v>143</v>
      </c>
      <c r="B40">
        <f>+Hoja1!C49</f>
        <v>13868786</v>
      </c>
      <c r="C40" t="str">
        <f>+Hoja1!B49</f>
        <v>LARA PEREZ VIANNYS</v>
      </c>
      <c r="D40">
        <f>+Hoja1!H49</f>
        <v>392</v>
      </c>
      <c r="E40">
        <f>+Hoja1!J49</f>
        <v>19.600000000000001</v>
      </c>
      <c r="F40">
        <f>+Hoja1!L49</f>
        <v>372.4</v>
      </c>
    </row>
    <row r="41" spans="1:6" x14ac:dyDescent="0.25">
      <c r="A41" t="s">
        <v>143</v>
      </c>
      <c r="B41">
        <f>+Hoja1!C50</f>
        <v>7401853</v>
      </c>
      <c r="C41" t="str">
        <f>+Hoja1!B50</f>
        <v>LOPEZ ANA</v>
      </c>
      <c r="D41">
        <f>+Hoja1!H50</f>
        <v>514.78</v>
      </c>
      <c r="E41">
        <f>+Hoja1!J50</f>
        <v>25.739000000000001</v>
      </c>
      <c r="F41">
        <f>+Hoja1!L50</f>
        <v>489.041</v>
      </c>
    </row>
    <row r="42" spans="1:6" x14ac:dyDescent="0.25">
      <c r="A42" t="s">
        <v>143</v>
      </c>
      <c r="B42">
        <f>+Hoja1!C51</f>
        <v>7401853</v>
      </c>
      <c r="C42" t="str">
        <f>+Hoja1!B51</f>
        <v>LOPEZ ANA</v>
      </c>
      <c r="D42">
        <f>+Hoja1!H51</f>
        <v>68.8</v>
      </c>
      <c r="E42">
        <f>+Hoja1!J51</f>
        <v>3.44</v>
      </c>
      <c r="F42">
        <f>+Hoja1!L51</f>
        <v>65.36</v>
      </c>
    </row>
    <row r="43" spans="1:6" x14ac:dyDescent="0.25">
      <c r="A43" t="s">
        <v>143</v>
      </c>
      <c r="B43">
        <f>+Hoja1!C52</f>
        <v>5765952</v>
      </c>
      <c r="C43" t="str">
        <f>+Hoja1!B52</f>
        <v>LUCENA  JOSE</v>
      </c>
      <c r="D43">
        <f>+Hoja1!H52</f>
        <v>256.8</v>
      </c>
      <c r="E43">
        <f>+Hoja1!J52</f>
        <v>12.840000000000002</v>
      </c>
      <c r="F43">
        <f>+Hoja1!L52</f>
        <v>243.96</v>
      </c>
    </row>
    <row r="44" spans="1:6" x14ac:dyDescent="0.25">
      <c r="A44" t="s">
        <v>143</v>
      </c>
      <c r="B44">
        <f>+Hoja1!C53</f>
        <v>11883300</v>
      </c>
      <c r="C44" t="str">
        <f>+Hoja1!B53</f>
        <v>MARIN C. ANTONIO</v>
      </c>
      <c r="D44">
        <f>+Hoja1!H53</f>
        <v>612</v>
      </c>
      <c r="E44">
        <f>+Hoja1!J53</f>
        <v>30.6</v>
      </c>
      <c r="F44">
        <f>+Hoja1!L53</f>
        <v>581.4</v>
      </c>
    </row>
    <row r="45" spans="1:6" x14ac:dyDescent="0.25">
      <c r="A45" t="s">
        <v>143</v>
      </c>
      <c r="B45">
        <f>+Hoja1!C54</f>
        <v>15598933</v>
      </c>
      <c r="C45" t="str">
        <f>+Hoja1!B54</f>
        <v>MARQUEZ LEAL MARCOS</v>
      </c>
      <c r="D45">
        <f>+Hoja1!H54</f>
        <v>335.33</v>
      </c>
      <c r="E45">
        <f>+Hoja1!J54</f>
        <v>16.766500000000001</v>
      </c>
      <c r="F45">
        <f>+Hoja1!L54</f>
        <v>318.56349999999998</v>
      </c>
    </row>
    <row r="46" spans="1:6" x14ac:dyDescent="0.25">
      <c r="A46" t="s">
        <v>143</v>
      </c>
      <c r="B46">
        <f>+Hoja1!C55</f>
        <v>5925143</v>
      </c>
      <c r="C46" t="str">
        <f>+Hoja1!B55</f>
        <v>MUJICA  ARGENIS</v>
      </c>
      <c r="D46">
        <f>+Hoja1!H55</f>
        <v>89.6</v>
      </c>
      <c r="E46">
        <f>+Hoja1!J55</f>
        <v>4.4799999999999995</v>
      </c>
      <c r="F46">
        <f>+Hoja1!L55</f>
        <v>85.11999999999999</v>
      </c>
    </row>
    <row r="47" spans="1:6" x14ac:dyDescent="0.25">
      <c r="A47" t="s">
        <v>143</v>
      </c>
      <c r="B47">
        <f>+Hoja1!C56</f>
        <v>7419340</v>
      </c>
      <c r="C47" t="str">
        <f>+Hoja1!B56</f>
        <v>ORELLANA B. WILLIAM</v>
      </c>
      <c r="D47">
        <f>+Hoja1!H56</f>
        <v>204.18</v>
      </c>
      <c r="E47">
        <f>+Hoja1!J56</f>
        <v>10.209000000000001</v>
      </c>
      <c r="F47">
        <f>+Hoja1!L56</f>
        <v>193.971</v>
      </c>
    </row>
    <row r="48" spans="1:6" x14ac:dyDescent="0.25">
      <c r="A48" t="s">
        <v>143</v>
      </c>
      <c r="B48">
        <f>+Hoja1!C57</f>
        <v>7419340</v>
      </c>
      <c r="C48" t="str">
        <f>+Hoja1!B57</f>
        <v>ORELLANA B. WILLIAM</v>
      </c>
      <c r="D48">
        <f>+Hoja1!H57</f>
        <v>236</v>
      </c>
      <c r="E48">
        <f>+Hoja1!J57</f>
        <v>11.8</v>
      </c>
      <c r="F48">
        <f>+Hoja1!L57</f>
        <v>224.2</v>
      </c>
    </row>
    <row r="49" spans="1:6" x14ac:dyDescent="0.25">
      <c r="A49" t="s">
        <v>143</v>
      </c>
      <c r="B49">
        <f>+Hoja1!C58</f>
        <v>7388038</v>
      </c>
      <c r="C49" t="str">
        <f>+Hoja1!B58</f>
        <v>ORELLANA FRANCELIZA</v>
      </c>
      <c r="D49">
        <f>+Hoja1!H58</f>
        <v>168</v>
      </c>
      <c r="E49">
        <f>+Hoja1!J58</f>
        <v>8.4</v>
      </c>
      <c r="F49">
        <f>+Hoja1!L58</f>
        <v>159.6</v>
      </c>
    </row>
    <row r="50" spans="1:6" x14ac:dyDescent="0.25">
      <c r="A50" t="s">
        <v>143</v>
      </c>
      <c r="B50">
        <f>+Hoja1!C59</f>
        <v>3314884</v>
      </c>
      <c r="C50" t="str">
        <f>+Hoja1!B59</f>
        <v>OSTA MARIA</v>
      </c>
      <c r="D50">
        <f>+Hoja1!H59</f>
        <v>435.22</v>
      </c>
      <c r="E50">
        <f>+Hoja1!J59</f>
        <v>21.761000000000003</v>
      </c>
      <c r="F50">
        <f>+Hoja1!L59</f>
        <v>413.459</v>
      </c>
    </row>
    <row r="51" spans="1:6" x14ac:dyDescent="0.25">
      <c r="A51" t="s">
        <v>143</v>
      </c>
      <c r="B51">
        <f>+Hoja1!C60</f>
        <v>12704649</v>
      </c>
      <c r="C51" t="str">
        <f>+Hoja1!B60</f>
        <v>PE#A CHIRINOS JULIO</v>
      </c>
      <c r="D51">
        <f>+Hoja1!H60</f>
        <v>130.4</v>
      </c>
      <c r="E51">
        <f>+Hoja1!J60</f>
        <v>6.5200000000000005</v>
      </c>
      <c r="F51">
        <f>+Hoja1!L60</f>
        <v>123.88000000000001</v>
      </c>
    </row>
    <row r="52" spans="1:6" x14ac:dyDescent="0.25">
      <c r="A52" t="s">
        <v>143</v>
      </c>
      <c r="B52">
        <f>+Hoja1!C61</f>
        <v>12704649</v>
      </c>
      <c r="C52" t="str">
        <f>+Hoja1!B61</f>
        <v>PEÑA CHIRINOS JULIO</v>
      </c>
      <c r="D52">
        <f>+Hoja1!H61</f>
        <v>126.4</v>
      </c>
      <c r="E52">
        <f>+Hoja1!J61</f>
        <v>6.32</v>
      </c>
      <c r="F52">
        <f>+Hoja1!L61</f>
        <v>120.08000000000001</v>
      </c>
    </row>
    <row r="53" spans="1:6" x14ac:dyDescent="0.25">
      <c r="A53" t="s">
        <v>143</v>
      </c>
      <c r="B53">
        <f>+Hoja1!C62</f>
        <v>13187744</v>
      </c>
      <c r="C53" t="str">
        <f>+Hoja1!B62</f>
        <v>PEREZ  JOSE</v>
      </c>
      <c r="D53">
        <f>+Hoja1!H62</f>
        <v>112</v>
      </c>
      <c r="E53">
        <f>+Hoja1!J62</f>
        <v>5.6000000000000005</v>
      </c>
      <c r="F53">
        <f>+Hoja1!L62</f>
        <v>106.4</v>
      </c>
    </row>
    <row r="54" spans="1:6" x14ac:dyDescent="0.25">
      <c r="A54" t="s">
        <v>143</v>
      </c>
      <c r="B54">
        <f>+Hoja1!C63</f>
        <v>6575243</v>
      </c>
      <c r="C54" t="str">
        <f>+Hoja1!B63</f>
        <v>PEREZ FREDIS</v>
      </c>
      <c r="D54">
        <f>+Hoja1!H63</f>
        <v>286.62</v>
      </c>
      <c r="E54">
        <f>+Hoja1!J63</f>
        <v>14.331000000000001</v>
      </c>
      <c r="F54">
        <f>+Hoja1!L63</f>
        <v>272.28899999999999</v>
      </c>
    </row>
    <row r="55" spans="1:6" x14ac:dyDescent="0.25">
      <c r="A55" t="s">
        <v>143</v>
      </c>
      <c r="B55">
        <f>+Hoja1!C64</f>
        <v>6575243</v>
      </c>
      <c r="C55" t="str">
        <f>+Hoja1!B64</f>
        <v>PEREZ FREDIS</v>
      </c>
      <c r="D55">
        <f>+Hoja1!H64</f>
        <v>148.80000000000001</v>
      </c>
      <c r="E55">
        <f>+Hoja1!J64</f>
        <v>7.4400000000000013</v>
      </c>
      <c r="F55">
        <f>+Hoja1!L64</f>
        <v>141.36000000000001</v>
      </c>
    </row>
    <row r="56" spans="1:6" x14ac:dyDescent="0.25">
      <c r="A56" t="s">
        <v>143</v>
      </c>
      <c r="B56">
        <f>+Hoja1!C65</f>
        <v>12698965</v>
      </c>
      <c r="C56" t="str">
        <f>+Hoja1!B65</f>
        <v>PIÑA  DAISY</v>
      </c>
      <c r="D56">
        <f>+Hoja1!H65</f>
        <v>181.69</v>
      </c>
      <c r="E56">
        <f>+Hoja1!J65</f>
        <v>9.0845000000000002</v>
      </c>
      <c r="F56">
        <f>+Hoja1!L65</f>
        <v>172.60550000000001</v>
      </c>
    </row>
    <row r="57" spans="1:6" x14ac:dyDescent="0.25">
      <c r="A57" t="s">
        <v>143</v>
      </c>
      <c r="B57">
        <f>+Hoja1!C66</f>
        <v>12698965</v>
      </c>
      <c r="C57" t="str">
        <f>+Hoja1!B66</f>
        <v>PIÑA  DAISY</v>
      </c>
      <c r="D57">
        <f>+Hoja1!H66</f>
        <v>173.63</v>
      </c>
      <c r="E57">
        <f>+Hoja1!J66</f>
        <v>8.6814999999999998</v>
      </c>
      <c r="F57">
        <f>+Hoja1!L66</f>
        <v>164.9485</v>
      </c>
    </row>
    <row r="58" spans="1:6" x14ac:dyDescent="0.25">
      <c r="A58" t="s">
        <v>143</v>
      </c>
      <c r="B58">
        <f>+Hoja1!C67</f>
        <v>2541709</v>
      </c>
      <c r="C58" t="str">
        <f>+Hoja1!B67</f>
        <v>QUINTERO  CARLOS</v>
      </c>
      <c r="D58">
        <f>+Hoja1!H67</f>
        <v>209.78</v>
      </c>
      <c r="E58">
        <f>+Hoja1!J67</f>
        <v>10.489000000000001</v>
      </c>
      <c r="F58">
        <f>+Hoja1!L67</f>
        <v>199.291</v>
      </c>
    </row>
    <row r="59" spans="1:6" x14ac:dyDescent="0.25">
      <c r="A59" t="s">
        <v>143</v>
      </c>
      <c r="B59">
        <f>+Hoja1!C68</f>
        <v>2541709</v>
      </c>
      <c r="C59" t="str">
        <f>+Hoja1!B68</f>
        <v>QUINTERO  CARLOS</v>
      </c>
      <c r="D59">
        <f>+Hoja1!H68</f>
        <v>197.83</v>
      </c>
      <c r="E59">
        <f>+Hoja1!J68</f>
        <v>9.8915000000000006</v>
      </c>
      <c r="F59">
        <f>+Hoja1!L68</f>
        <v>187.9385</v>
      </c>
    </row>
    <row r="60" spans="1:6" x14ac:dyDescent="0.25">
      <c r="A60" t="s">
        <v>143</v>
      </c>
      <c r="B60">
        <f>+Hoja1!C69</f>
        <v>7429274</v>
      </c>
      <c r="C60" t="str">
        <f>+Hoja1!B69</f>
        <v>QUINTERO  ROY</v>
      </c>
      <c r="D60">
        <f>+Hoja1!H69</f>
        <v>310.81</v>
      </c>
      <c r="E60">
        <f>+Hoja1!J69</f>
        <v>15.540500000000002</v>
      </c>
      <c r="F60">
        <f>+Hoja1!L69</f>
        <v>295.26949999999999</v>
      </c>
    </row>
    <row r="61" spans="1:6" x14ac:dyDescent="0.25">
      <c r="A61" t="s">
        <v>143</v>
      </c>
      <c r="B61">
        <f>+Hoja1!C70</f>
        <v>17965237</v>
      </c>
      <c r="C61" t="str">
        <f>+Hoja1!B70</f>
        <v>RAMIREZ LAGUNA JEAN</v>
      </c>
      <c r="D61">
        <f>+Hoja1!H70</f>
        <v>232</v>
      </c>
      <c r="E61">
        <f>+Hoja1!J70</f>
        <v>11.600000000000001</v>
      </c>
      <c r="F61">
        <f>+Hoja1!L70</f>
        <v>220.4</v>
      </c>
    </row>
    <row r="62" spans="1:6" x14ac:dyDescent="0.25">
      <c r="A62" t="s">
        <v>143</v>
      </c>
      <c r="B62">
        <f>+Hoja1!C71</f>
        <v>10770124</v>
      </c>
      <c r="C62" t="str">
        <f>+Hoja1!B71</f>
        <v>REA ALEXIS</v>
      </c>
      <c r="D62">
        <f>+Hoja1!H71</f>
        <v>316</v>
      </c>
      <c r="E62">
        <f>+Hoja1!J71</f>
        <v>15.8</v>
      </c>
      <c r="F62">
        <f>+Hoja1!L71</f>
        <v>300.2</v>
      </c>
    </row>
    <row r="63" spans="1:6" x14ac:dyDescent="0.25">
      <c r="A63" t="s">
        <v>143</v>
      </c>
      <c r="B63">
        <f>+Hoja1!C72</f>
        <v>3710064</v>
      </c>
      <c r="C63" t="str">
        <f>+Hoja1!B72</f>
        <v>RIVERO  FREDDY</v>
      </c>
      <c r="D63">
        <f>+Hoja1!H72</f>
        <v>279.2</v>
      </c>
      <c r="E63">
        <f>+Hoja1!J72</f>
        <v>13.96</v>
      </c>
      <c r="F63">
        <f>+Hoja1!L72</f>
        <v>265.24</v>
      </c>
    </row>
    <row r="64" spans="1:6" x14ac:dyDescent="0.25">
      <c r="A64" t="s">
        <v>143</v>
      </c>
      <c r="B64">
        <f>+Hoja1!C73</f>
        <v>7436077</v>
      </c>
      <c r="C64" t="str">
        <f>+Hoja1!B73</f>
        <v>RODRIGUEZ  C   EVELIO</v>
      </c>
      <c r="D64">
        <f>+Hoja1!H73</f>
        <v>28</v>
      </c>
      <c r="E64">
        <f>+Hoja1!J73</f>
        <v>0</v>
      </c>
      <c r="F64">
        <f>+Hoja1!L73</f>
        <v>28</v>
      </c>
    </row>
    <row r="65" spans="1:6" x14ac:dyDescent="0.25">
      <c r="A65" t="s">
        <v>143</v>
      </c>
      <c r="B65">
        <f>+Hoja1!C74</f>
        <v>7425063</v>
      </c>
      <c r="C65" t="str">
        <f>+Hoja1!B74</f>
        <v>RODRIGUEZ LIGIA</v>
      </c>
      <c r="D65">
        <f>+Hoja1!H74</f>
        <v>457.6</v>
      </c>
      <c r="E65">
        <f>+Hoja1!J74</f>
        <v>22.880000000000003</v>
      </c>
      <c r="F65">
        <f>+Hoja1!L74</f>
        <v>434.72</v>
      </c>
    </row>
    <row r="66" spans="1:6" x14ac:dyDescent="0.25">
      <c r="A66" t="s">
        <v>143</v>
      </c>
      <c r="B66">
        <f>+Hoja1!C75</f>
        <v>7373089</v>
      </c>
      <c r="C66" t="str">
        <f>+Hoja1!B75</f>
        <v>SALAS FELIX</v>
      </c>
      <c r="D66">
        <f>+Hoja1!H75</f>
        <v>813.67</v>
      </c>
      <c r="E66">
        <f>+Hoja1!J75</f>
        <v>40.683500000000002</v>
      </c>
      <c r="F66">
        <f>+Hoja1!L75</f>
        <v>772.98649999999998</v>
      </c>
    </row>
    <row r="67" spans="1:6" x14ac:dyDescent="0.25">
      <c r="A67" t="s">
        <v>143</v>
      </c>
      <c r="B67">
        <f>+Hoja1!C76</f>
        <v>14513487</v>
      </c>
      <c r="C67" t="str">
        <f>+Hoja1!B76</f>
        <v>SANCHEZ SEGOBIA ERIK</v>
      </c>
      <c r="D67">
        <f>+Hoja1!H76</f>
        <v>261.52</v>
      </c>
      <c r="E67">
        <f>+Hoja1!J76</f>
        <v>13.076000000000001</v>
      </c>
      <c r="F67">
        <f>+Hoja1!L76</f>
        <v>248.44399999999999</v>
      </c>
    </row>
    <row r="68" spans="1:6" x14ac:dyDescent="0.25">
      <c r="A68" t="s">
        <v>143</v>
      </c>
      <c r="B68">
        <f>+Hoja1!C77</f>
        <v>14513487</v>
      </c>
      <c r="C68" t="str">
        <f>+Hoja1!B77</f>
        <v>SANCHEZ SEGOBIA ERIK</v>
      </c>
      <c r="D68">
        <f>+Hoja1!H77</f>
        <v>42.5</v>
      </c>
      <c r="E68">
        <f>+Hoja1!J77</f>
        <v>0</v>
      </c>
      <c r="F68">
        <f>+Hoja1!L77</f>
        <v>42.5</v>
      </c>
    </row>
    <row r="69" spans="1:6" x14ac:dyDescent="0.25">
      <c r="A69" t="s">
        <v>143</v>
      </c>
      <c r="B69">
        <f>+Hoja1!C78</f>
        <v>8054279</v>
      </c>
      <c r="C69" t="str">
        <f>+Hoja1!B78</f>
        <v>SANDOVAL  DOMITILO</v>
      </c>
      <c r="D69">
        <f>+Hoja1!H78</f>
        <v>316</v>
      </c>
      <c r="E69">
        <f>+Hoja1!J78</f>
        <v>15.8</v>
      </c>
      <c r="F69">
        <f>+Hoja1!L78</f>
        <v>300.2</v>
      </c>
    </row>
    <row r="70" spans="1:6" x14ac:dyDescent="0.25">
      <c r="A70" t="s">
        <v>143</v>
      </c>
      <c r="B70">
        <f>+Hoja1!C79</f>
        <v>5255641</v>
      </c>
      <c r="C70" t="str">
        <f>+Hoja1!B79</f>
        <v>SOTO EDUARDO</v>
      </c>
      <c r="D70">
        <f>+Hoja1!H79</f>
        <v>240.8</v>
      </c>
      <c r="E70">
        <f>+Hoja1!J79</f>
        <v>12.040000000000001</v>
      </c>
      <c r="F70">
        <f>+Hoja1!L79</f>
        <v>228.76000000000002</v>
      </c>
    </row>
    <row r="71" spans="1:6" x14ac:dyDescent="0.25">
      <c r="A71" t="s">
        <v>143</v>
      </c>
      <c r="B71">
        <f>+Hoja1!C80</f>
        <v>7322780</v>
      </c>
      <c r="C71" t="str">
        <f>+Hoja1!B80</f>
        <v>SUAREZ  NAURO</v>
      </c>
      <c r="D71">
        <f>+Hoja1!H80</f>
        <v>202</v>
      </c>
      <c r="E71">
        <f>+Hoja1!J80</f>
        <v>10.100000000000001</v>
      </c>
      <c r="F71">
        <f>+Hoja1!L80</f>
        <v>191.9</v>
      </c>
    </row>
    <row r="72" spans="1:6" x14ac:dyDescent="0.25">
      <c r="A72" t="s">
        <v>143</v>
      </c>
      <c r="B72">
        <f>+Hoja1!C81</f>
        <v>7331943</v>
      </c>
      <c r="C72" t="str">
        <f>+Hoja1!B81</f>
        <v>SUAREZ JOSE</v>
      </c>
      <c r="D72">
        <f>+Hoja1!H81</f>
        <v>291.58</v>
      </c>
      <c r="E72">
        <f>+Hoja1!J81</f>
        <v>14.579000000000001</v>
      </c>
      <c r="F72">
        <f>+Hoja1!L81</f>
        <v>277.00099999999998</v>
      </c>
    </row>
    <row r="73" spans="1:6" x14ac:dyDescent="0.25">
      <c r="A73" t="s">
        <v>143</v>
      </c>
      <c r="B73">
        <f>+Hoja1!C82</f>
        <v>11633896</v>
      </c>
      <c r="C73" t="str">
        <f>+Hoja1!B82</f>
        <v>TORO AQUILES</v>
      </c>
      <c r="D73">
        <f>+Hoja1!H82</f>
        <v>223</v>
      </c>
      <c r="E73">
        <f>+Hoja1!J82</f>
        <v>11.15</v>
      </c>
      <c r="F73">
        <f>+Hoja1!L82</f>
        <v>211.85</v>
      </c>
    </row>
    <row r="74" spans="1:6" x14ac:dyDescent="0.25">
      <c r="A74" t="s">
        <v>143</v>
      </c>
      <c r="B74">
        <f>+Hoja1!C83</f>
        <v>11633896</v>
      </c>
      <c r="C74" t="str">
        <f>+Hoja1!B83</f>
        <v>TORO AQUILES</v>
      </c>
      <c r="D74">
        <f>+Hoja1!H83</f>
        <v>376.36</v>
      </c>
      <c r="E74">
        <f>+Hoja1!J83</f>
        <v>18.818000000000001</v>
      </c>
      <c r="F74">
        <f>+Hoja1!L83</f>
        <v>357.54200000000003</v>
      </c>
    </row>
    <row r="75" spans="1:6" x14ac:dyDescent="0.25">
      <c r="A75" t="s">
        <v>143</v>
      </c>
      <c r="B75">
        <f>+Hoja1!C84</f>
        <v>7983170</v>
      </c>
      <c r="C75" t="str">
        <f>+Hoja1!B84</f>
        <v>TORRES PURA</v>
      </c>
      <c r="D75">
        <f>+Hoja1!H84</f>
        <v>314.66000000000003</v>
      </c>
      <c r="E75">
        <f>+Hoja1!J84</f>
        <v>15.733000000000002</v>
      </c>
      <c r="F75">
        <f>+Hoja1!L84</f>
        <v>298.92700000000002</v>
      </c>
    </row>
    <row r="76" spans="1:6" x14ac:dyDescent="0.25">
      <c r="A76" t="s">
        <v>143</v>
      </c>
      <c r="B76">
        <f>+Hoja1!C85</f>
        <v>7347856</v>
      </c>
      <c r="C76" t="str">
        <f>+Hoja1!B85</f>
        <v>UZCATEGUI  EMILIA</v>
      </c>
      <c r="D76">
        <f>+Hoja1!H85</f>
        <v>759</v>
      </c>
      <c r="E76">
        <f>+Hoja1!J85</f>
        <v>37.950000000000003</v>
      </c>
      <c r="F76">
        <f>+Hoja1!L85</f>
        <v>721.05</v>
      </c>
    </row>
    <row r="77" spans="1:6" x14ac:dyDescent="0.25">
      <c r="A77" t="s">
        <v>143</v>
      </c>
      <c r="B77">
        <f>+Hoja1!C86</f>
        <v>7347856</v>
      </c>
      <c r="C77" t="str">
        <f>+Hoja1!B86</f>
        <v>UZCATEGUI  EMILIA</v>
      </c>
      <c r="D77">
        <f>+Hoja1!H86</f>
        <v>1321.17</v>
      </c>
      <c r="E77">
        <f>+Hoja1!J86</f>
        <v>66.058500000000009</v>
      </c>
      <c r="F77">
        <f>+Hoja1!L86</f>
        <v>1255.1115</v>
      </c>
    </row>
    <row r="78" spans="1:6" x14ac:dyDescent="0.25">
      <c r="A78" t="s">
        <v>143</v>
      </c>
      <c r="B78">
        <f>+Hoja1!C87</f>
        <v>7347856</v>
      </c>
      <c r="C78" t="str">
        <f>+Hoja1!B87</f>
        <v>UZCATEGUI  EMILIA</v>
      </c>
      <c r="D78">
        <f>+Hoja1!H87</f>
        <v>247.6</v>
      </c>
      <c r="E78">
        <f>+Hoja1!J87</f>
        <v>12.38</v>
      </c>
      <c r="F78">
        <f>+Hoja1!L87</f>
        <v>235.22</v>
      </c>
    </row>
    <row r="79" spans="1:6" x14ac:dyDescent="0.25">
      <c r="A79" t="s">
        <v>143</v>
      </c>
      <c r="B79">
        <f>+Hoja1!C88</f>
        <v>7312149</v>
      </c>
      <c r="C79" t="str">
        <f>+Hoja1!B88</f>
        <v>VARGAS  CARMEN</v>
      </c>
      <c r="D79">
        <f>+Hoja1!H88</f>
        <v>546</v>
      </c>
      <c r="E79">
        <f>+Hoja1!J88</f>
        <v>27.3</v>
      </c>
      <c r="F79">
        <f>+Hoja1!L88</f>
        <v>518.70000000000005</v>
      </c>
    </row>
    <row r="80" spans="1:6" x14ac:dyDescent="0.25">
      <c r="A80" t="s">
        <v>143</v>
      </c>
      <c r="B80">
        <f>+Hoja1!C89</f>
        <v>13510180</v>
      </c>
      <c r="C80" t="str">
        <f>+Hoja1!B89</f>
        <v>VASQUEZ JHONNYS</v>
      </c>
      <c r="D80">
        <f>+Hoja1!H89</f>
        <v>516</v>
      </c>
      <c r="E80">
        <f>+Hoja1!J89</f>
        <v>25.8</v>
      </c>
      <c r="F80">
        <f>+Hoja1!L89</f>
        <v>490.2</v>
      </c>
    </row>
    <row r="81" spans="1:6" x14ac:dyDescent="0.25">
      <c r="A81" t="s">
        <v>143</v>
      </c>
      <c r="B81">
        <f>+Hoja1!C90</f>
        <v>13510180</v>
      </c>
      <c r="C81" t="str">
        <f>+Hoja1!B90</f>
        <v>VASQUEZ JHONNYS</v>
      </c>
      <c r="D81">
        <f>+Hoja1!H90</f>
        <v>212.15</v>
      </c>
      <c r="E81">
        <f>+Hoja1!J90</f>
        <v>10.607500000000002</v>
      </c>
      <c r="F81">
        <f>+Hoja1!L90</f>
        <v>201.54250000000002</v>
      </c>
    </row>
    <row r="82" spans="1:6" x14ac:dyDescent="0.25">
      <c r="A82" t="s">
        <v>143</v>
      </c>
      <c r="B82">
        <f>+Hoja1!C91</f>
        <v>16137706</v>
      </c>
      <c r="C82" t="str">
        <f>+Hoja1!B91</f>
        <v>VASQUEZ U. EDIXON</v>
      </c>
      <c r="D82">
        <f>+Hoja1!H91</f>
        <v>146.4</v>
      </c>
      <c r="E82">
        <f>+Hoja1!J91</f>
        <v>7.32</v>
      </c>
      <c r="F82">
        <f>+Hoja1!L91</f>
        <v>139.08000000000001</v>
      </c>
    </row>
    <row r="83" spans="1:6" x14ac:dyDescent="0.25">
      <c r="A83" t="s">
        <v>143</v>
      </c>
      <c r="B83">
        <f>+Hoja1!C92</f>
        <v>15668151</v>
      </c>
      <c r="C83" t="str">
        <f>+Hoja1!B92</f>
        <v>VIRGUEZ U PAUCIDES A</v>
      </c>
      <c r="D83">
        <f>+Hoja1!H92</f>
        <v>1004.8</v>
      </c>
      <c r="E83">
        <f>+Hoja1!J92</f>
        <v>50.24</v>
      </c>
      <c r="F83">
        <f>+Hoja1!L92</f>
        <v>954.56</v>
      </c>
    </row>
    <row r="84" spans="1:6" x14ac:dyDescent="0.25">
      <c r="A84" t="s">
        <v>143</v>
      </c>
      <c r="B84">
        <f>+Hoja1!C93</f>
        <v>15668151</v>
      </c>
      <c r="C84" t="str">
        <f>+Hoja1!B93</f>
        <v>VIRGUEZ U PAUCIDES A</v>
      </c>
      <c r="D84">
        <f>+Hoja1!H93</f>
        <v>269.18</v>
      </c>
      <c r="E84">
        <f>+Hoja1!J93</f>
        <v>13.459000000000001</v>
      </c>
      <c r="F84">
        <f>+Hoja1!L93</f>
        <v>255.721</v>
      </c>
    </row>
    <row r="85" spans="1:6" x14ac:dyDescent="0.25">
      <c r="A85" t="s">
        <v>143</v>
      </c>
      <c r="B85">
        <f>+Hoja1!C94</f>
        <v>7449457</v>
      </c>
      <c r="C85" t="str">
        <f>+Hoja1!B94</f>
        <v>VISCAYA PEDRO</v>
      </c>
      <c r="D85">
        <f>+Hoja1!H94</f>
        <v>77.05</v>
      </c>
      <c r="E85">
        <f>+Hoja1!J94</f>
        <v>3.8525</v>
      </c>
      <c r="F85">
        <f>+Hoja1!L94</f>
        <v>73.197499999999991</v>
      </c>
    </row>
    <row r="86" spans="1:6" x14ac:dyDescent="0.25">
      <c r="A86" t="s">
        <v>143</v>
      </c>
      <c r="B86">
        <f>+Hoja1!C95</f>
        <v>5436619</v>
      </c>
      <c r="C86" t="str">
        <f>+Hoja1!B95</f>
        <v>YUSTIZ JOSE</v>
      </c>
      <c r="D86">
        <f>+Hoja1!H95</f>
        <v>1584</v>
      </c>
      <c r="E86">
        <f>+Hoja1!J95</f>
        <v>79.2</v>
      </c>
      <c r="F86">
        <f>+Hoja1!L95</f>
        <v>1504.8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tabSelected="1" topLeftCell="A75" workbookViewId="0">
      <selection activeCell="E87" sqref="E87"/>
    </sheetView>
  </sheetViews>
  <sheetFormatPr baseColWidth="10" defaultRowHeight="15" x14ac:dyDescent="0.25"/>
  <sheetData>
    <row r="1" spans="1:5" x14ac:dyDescent="0.25">
      <c r="A1" t="str">
        <f>CONCATENATE(Hoja2!A1,Hoja2!B1)</f>
        <v>V10126656</v>
      </c>
      <c r="B1" t="str">
        <f>+Hoja2!C1</f>
        <v>ALVARADO  RAFAEL</v>
      </c>
      <c r="C1">
        <f>+Hoja2!D1</f>
        <v>384.28</v>
      </c>
      <c r="D1">
        <f>+Hoja2!E1</f>
        <v>19.213999999999999</v>
      </c>
      <c r="E1">
        <f>+Hoja2!F1</f>
        <v>365.06599999999997</v>
      </c>
    </row>
    <row r="2" spans="1:5" x14ac:dyDescent="0.25">
      <c r="A2" t="str">
        <f>CONCATENATE(Hoja2!A2,Hoja2!B2)</f>
        <v>V7374616</v>
      </c>
      <c r="B2" t="str">
        <f>+Hoja2!C2</f>
        <v>AMARO  ANA</v>
      </c>
      <c r="C2">
        <f>+Hoja2!D2</f>
        <v>473.6</v>
      </c>
      <c r="D2">
        <f>+Hoja2!E2</f>
        <v>23.680000000000003</v>
      </c>
      <c r="E2">
        <f>+Hoja2!F2</f>
        <v>449.92</v>
      </c>
    </row>
    <row r="3" spans="1:5" x14ac:dyDescent="0.25">
      <c r="A3" t="str">
        <f>CONCATENATE(Hoja2!A3,Hoja2!B3)</f>
        <v>V7374616</v>
      </c>
      <c r="B3" t="str">
        <f>+Hoja2!C3</f>
        <v>AMARO  ANA</v>
      </c>
      <c r="C3">
        <f>+Hoja2!D3</f>
        <v>164.8</v>
      </c>
      <c r="D3">
        <f>+Hoja2!E3</f>
        <v>8.24</v>
      </c>
      <c r="E3">
        <f>+Hoja2!F3</f>
        <v>156.56</v>
      </c>
    </row>
    <row r="4" spans="1:5" x14ac:dyDescent="0.25">
      <c r="A4" t="str">
        <f>CONCATENATE(Hoja2!A4,Hoja2!B4)</f>
        <v>V10849906</v>
      </c>
      <c r="B4" t="str">
        <f>+Hoja2!C4</f>
        <v>APOSTOL R. CARLOS</v>
      </c>
      <c r="C4">
        <f>+Hoja2!D4</f>
        <v>395.94</v>
      </c>
      <c r="D4">
        <f>+Hoja2!E4</f>
        <v>19.797000000000001</v>
      </c>
      <c r="E4">
        <f>+Hoja2!F4</f>
        <v>376.14299999999997</v>
      </c>
    </row>
    <row r="5" spans="1:5" x14ac:dyDescent="0.25">
      <c r="A5" t="str">
        <f>CONCATENATE(Hoja2!A5,Hoja2!B5)</f>
        <v>V9553047</v>
      </c>
      <c r="B5" t="str">
        <f>+Hoja2!C5</f>
        <v>ARRIECHE IVONNE</v>
      </c>
      <c r="C5">
        <f>+Hoja2!D5</f>
        <v>276.91000000000003</v>
      </c>
      <c r="D5">
        <f>+Hoja2!E5</f>
        <v>13.845500000000001</v>
      </c>
      <c r="E5">
        <f>+Hoja2!F5</f>
        <v>263.06450000000001</v>
      </c>
    </row>
    <row r="6" spans="1:5" x14ac:dyDescent="0.25">
      <c r="A6" t="str">
        <f>CONCATENATE(Hoja2!A6,Hoja2!B6)</f>
        <v>V9553047</v>
      </c>
      <c r="B6" t="str">
        <f>+Hoja2!C6</f>
        <v>ARRIECHE IVONNE</v>
      </c>
      <c r="C6">
        <f>+Hoja2!D6</f>
        <v>127.2</v>
      </c>
      <c r="D6">
        <f>+Hoja2!E6</f>
        <v>6.36</v>
      </c>
      <c r="E6">
        <f>+Hoja2!F6</f>
        <v>120.84</v>
      </c>
    </row>
    <row r="7" spans="1:5" x14ac:dyDescent="0.25">
      <c r="A7" t="str">
        <f>CONCATENATE(Hoja2!A7,Hoja2!B7)</f>
        <v>V9553047</v>
      </c>
      <c r="B7" t="str">
        <f>+Hoja2!C7</f>
        <v>ARRIECHE IVONNE</v>
      </c>
      <c r="C7">
        <f>+Hoja2!D7</f>
        <v>333.78</v>
      </c>
      <c r="D7">
        <f>+Hoja2!E7</f>
        <v>16.689</v>
      </c>
      <c r="E7">
        <f>+Hoja2!F7</f>
        <v>317.09099999999995</v>
      </c>
    </row>
    <row r="8" spans="1:5" x14ac:dyDescent="0.25">
      <c r="A8" t="str">
        <f>CONCATENATE(Hoja2!A8,Hoja2!B8)</f>
        <v>V9553047</v>
      </c>
      <c r="B8" t="str">
        <f>+Hoja2!C8</f>
        <v>ARRIECHE IVONNE</v>
      </c>
      <c r="C8">
        <f>+Hoja2!D8</f>
        <v>433.02</v>
      </c>
      <c r="D8">
        <f>+Hoja2!E8</f>
        <v>21.651</v>
      </c>
      <c r="E8">
        <f>+Hoja2!F8</f>
        <v>411.36899999999997</v>
      </c>
    </row>
    <row r="9" spans="1:5" x14ac:dyDescent="0.25">
      <c r="A9" t="str">
        <f>CONCATENATE(Hoja2!A9,Hoja2!B9)</f>
        <v>V7344290</v>
      </c>
      <c r="B9" t="str">
        <f>+Hoja2!C9</f>
        <v>BELLO LAYA JULIO</v>
      </c>
      <c r="C9">
        <f>+Hoja2!D9</f>
        <v>130.19</v>
      </c>
      <c r="D9">
        <f>+Hoja2!E9</f>
        <v>6.5095000000000001</v>
      </c>
      <c r="E9">
        <f>+Hoja2!F9</f>
        <v>123.68049999999999</v>
      </c>
    </row>
    <row r="10" spans="1:5" x14ac:dyDescent="0.25">
      <c r="A10" t="str">
        <f>CONCATENATE(Hoja2!A10,Hoja2!B10)</f>
        <v>V3878006</v>
      </c>
      <c r="B10" t="str">
        <f>+Hoja2!C10</f>
        <v>BULLONES  PASTOR</v>
      </c>
      <c r="C10">
        <f>+Hoja2!D10</f>
        <v>271.98</v>
      </c>
      <c r="D10">
        <f>+Hoja2!E10</f>
        <v>13.599000000000002</v>
      </c>
      <c r="E10">
        <f>+Hoja2!F10</f>
        <v>258.38100000000003</v>
      </c>
    </row>
    <row r="11" spans="1:5" x14ac:dyDescent="0.25">
      <c r="A11" t="str">
        <f>CONCATENATE(Hoja2!A11,Hoja2!B11)</f>
        <v>V3878006</v>
      </c>
      <c r="B11" t="str">
        <f>+Hoja2!C11</f>
        <v>BULLONES PASTOR</v>
      </c>
      <c r="C11">
        <f>+Hoja2!D11</f>
        <v>208.03</v>
      </c>
      <c r="D11">
        <f>+Hoja2!E11</f>
        <v>0</v>
      </c>
      <c r="E11">
        <f>+Hoja2!F11</f>
        <v>208.03</v>
      </c>
    </row>
    <row r="12" spans="1:5" x14ac:dyDescent="0.25">
      <c r="A12" t="str">
        <f>CONCATENATE(Hoja2!A12,Hoja2!B12)</f>
        <v>V9620720</v>
      </c>
      <c r="B12" t="str">
        <f>+Hoja2!C12</f>
        <v>CARMONA HORACIO</v>
      </c>
      <c r="C12">
        <f>+Hoja2!D12</f>
        <v>537.36</v>
      </c>
      <c r="D12">
        <f>+Hoja2!E12</f>
        <v>26.868000000000002</v>
      </c>
      <c r="E12">
        <f>+Hoja2!F12</f>
        <v>510.49200000000002</v>
      </c>
    </row>
    <row r="13" spans="1:5" x14ac:dyDescent="0.25">
      <c r="A13" t="str">
        <f>CONCATENATE(Hoja2!A13,Hoja2!B13)</f>
        <v>V12314254</v>
      </c>
      <c r="B13" t="str">
        <f>+Hoja2!C13</f>
        <v>CASTELLANOS VICENTE</v>
      </c>
      <c r="C13">
        <f>+Hoja2!D13</f>
        <v>396.8</v>
      </c>
      <c r="D13">
        <f>+Hoja2!E13</f>
        <v>19.840000000000003</v>
      </c>
      <c r="E13">
        <f>+Hoja2!F13</f>
        <v>376.96000000000004</v>
      </c>
    </row>
    <row r="14" spans="1:5" x14ac:dyDescent="0.25">
      <c r="A14" t="str">
        <f>CONCATENATE(Hoja2!A14,Hoja2!B14)</f>
        <v>V10846532</v>
      </c>
      <c r="B14" t="str">
        <f>+Hoja2!C14</f>
        <v>CASTILLO JOSE</v>
      </c>
      <c r="C14">
        <f>+Hoja2!D14</f>
        <v>1192</v>
      </c>
      <c r="D14">
        <f>+Hoja2!E14</f>
        <v>59.6</v>
      </c>
      <c r="E14">
        <f>+Hoja2!F14</f>
        <v>1132.4000000000001</v>
      </c>
    </row>
    <row r="15" spans="1:5" x14ac:dyDescent="0.25">
      <c r="A15" t="str">
        <f>CONCATENATE(Hoja2!A15,Hoja2!B15)</f>
        <v>V4375498</v>
      </c>
      <c r="B15" t="str">
        <f>+Hoja2!C15</f>
        <v>COLMENAREZ  JOSE</v>
      </c>
      <c r="C15">
        <f>+Hoja2!D15</f>
        <v>182.4</v>
      </c>
      <c r="D15">
        <f>+Hoja2!E15</f>
        <v>9.120000000000001</v>
      </c>
      <c r="E15">
        <f>+Hoja2!F15</f>
        <v>173.28</v>
      </c>
    </row>
    <row r="16" spans="1:5" x14ac:dyDescent="0.25">
      <c r="A16" t="str">
        <f>CONCATENATE(Hoja2!A16,Hoja2!B16)</f>
        <v>V7316059</v>
      </c>
      <c r="B16" t="str">
        <f>+Hoja2!C16</f>
        <v>COLMENAREZ CARLOS</v>
      </c>
      <c r="C16">
        <f>+Hoja2!D16</f>
        <v>100.39</v>
      </c>
      <c r="D16">
        <f>+Hoja2!E16</f>
        <v>5.0195000000000007</v>
      </c>
      <c r="E16">
        <f>+Hoja2!F16</f>
        <v>95.370499999999993</v>
      </c>
    </row>
    <row r="17" spans="1:5" x14ac:dyDescent="0.25">
      <c r="A17" t="str">
        <f>CONCATENATE(Hoja2!A17,Hoja2!B17)</f>
        <v>V9609337</v>
      </c>
      <c r="B17" t="str">
        <f>+Hoja2!C17</f>
        <v>CORRALES CLARISA</v>
      </c>
      <c r="C17">
        <f>+Hoja2!D17</f>
        <v>688.8</v>
      </c>
      <c r="D17">
        <f>+Hoja2!E17</f>
        <v>34.44</v>
      </c>
      <c r="E17">
        <f>+Hoja2!F17</f>
        <v>654.3599999999999</v>
      </c>
    </row>
    <row r="18" spans="1:5" x14ac:dyDescent="0.25">
      <c r="A18" t="str">
        <f>CONCATENATE(Hoja2!A18,Hoja2!B18)</f>
        <v>V9211039</v>
      </c>
      <c r="B18" t="str">
        <f>+Hoja2!C18</f>
        <v>DAVILA CHACON INGRID</v>
      </c>
      <c r="C18">
        <f>+Hoja2!D18</f>
        <v>120</v>
      </c>
      <c r="D18">
        <f>+Hoja2!E18</f>
        <v>6</v>
      </c>
      <c r="E18">
        <f>+Hoja2!F18</f>
        <v>114</v>
      </c>
    </row>
    <row r="19" spans="1:5" x14ac:dyDescent="0.25">
      <c r="A19" t="str">
        <f>CONCATENATE(Hoja2!A19,Hoja2!B19)</f>
        <v>V10846474</v>
      </c>
      <c r="B19" t="str">
        <f>+Hoja2!C19</f>
        <v>DUARTE  GENRY</v>
      </c>
      <c r="C19">
        <f>+Hoja2!D19</f>
        <v>307.62</v>
      </c>
      <c r="D19">
        <f>+Hoja2!E19</f>
        <v>15.381</v>
      </c>
      <c r="E19">
        <f>+Hoja2!F19</f>
        <v>292.23900000000003</v>
      </c>
    </row>
    <row r="20" spans="1:5" x14ac:dyDescent="0.25">
      <c r="A20" t="str">
        <f>CONCATENATE(Hoja2!A20,Hoja2!B20)</f>
        <v>V10846474</v>
      </c>
      <c r="B20" t="str">
        <f>+Hoja2!C20</f>
        <v>DUARTE  GENRY</v>
      </c>
      <c r="C20">
        <f>+Hoja2!D20</f>
        <v>46.14</v>
      </c>
      <c r="D20">
        <f>+Hoja2!E20</f>
        <v>2.3069999999999999</v>
      </c>
      <c r="E20">
        <f>+Hoja2!F20</f>
        <v>43.832999999999998</v>
      </c>
    </row>
    <row r="21" spans="1:5" x14ac:dyDescent="0.25">
      <c r="A21" t="str">
        <f>CONCATENATE(Hoja2!A21,Hoja2!B21)</f>
        <v>V4727740</v>
      </c>
      <c r="B21" t="str">
        <f>+Hoja2!C21</f>
        <v>DURAN  ADRIAN</v>
      </c>
      <c r="C21">
        <f>+Hoja2!D21</f>
        <v>53.2</v>
      </c>
      <c r="D21">
        <f>+Hoja2!E21</f>
        <v>2.66</v>
      </c>
      <c r="E21">
        <f>+Hoja2!F21</f>
        <v>50.540000000000006</v>
      </c>
    </row>
    <row r="22" spans="1:5" x14ac:dyDescent="0.25">
      <c r="A22" t="str">
        <f>CONCATENATE(Hoja2!A22,Hoja2!B22)</f>
        <v>V9620701</v>
      </c>
      <c r="B22" t="str">
        <f>+Hoja2!C22</f>
        <v>ESCALONA DIONICIO</v>
      </c>
      <c r="C22">
        <f>+Hoja2!D22</f>
        <v>518.4</v>
      </c>
      <c r="D22">
        <f>+Hoja2!E22</f>
        <v>25.92</v>
      </c>
      <c r="E22">
        <f>+Hoja2!F22</f>
        <v>492.47999999999996</v>
      </c>
    </row>
    <row r="23" spans="1:5" x14ac:dyDescent="0.25">
      <c r="A23" t="str">
        <f>CONCATENATE(Hoja2!A23,Hoja2!B23)</f>
        <v>V9620701</v>
      </c>
      <c r="B23" t="str">
        <f>+Hoja2!C23</f>
        <v>ESCALONA DIONICIO</v>
      </c>
      <c r="C23">
        <f>+Hoja2!D23</f>
        <v>151.75</v>
      </c>
      <c r="D23">
        <f>+Hoja2!E23</f>
        <v>7.5875000000000004</v>
      </c>
      <c r="E23">
        <f>+Hoja2!F23</f>
        <v>144.16249999999999</v>
      </c>
    </row>
    <row r="24" spans="1:5" x14ac:dyDescent="0.25">
      <c r="A24" t="str">
        <f>CONCATENATE(Hoja2!A24,Hoja2!B24)</f>
        <v>V13527636</v>
      </c>
      <c r="B24" t="str">
        <f>+Hoja2!C24</f>
        <v>GARCIA RUBEN</v>
      </c>
      <c r="C24">
        <f>+Hoja2!D24</f>
        <v>473.6</v>
      </c>
      <c r="D24">
        <f>+Hoja2!E24</f>
        <v>23.680000000000003</v>
      </c>
      <c r="E24">
        <f>+Hoja2!F24</f>
        <v>449.92</v>
      </c>
    </row>
    <row r="25" spans="1:5" x14ac:dyDescent="0.25">
      <c r="A25" t="str">
        <f>CONCATENATE(Hoja2!A25,Hoja2!B25)</f>
        <v>V13527636</v>
      </c>
      <c r="B25" t="str">
        <f>+Hoja2!C25</f>
        <v>GARCIA RUBEN</v>
      </c>
      <c r="C25">
        <f>+Hoja2!D25</f>
        <v>50</v>
      </c>
      <c r="D25">
        <f>+Hoja2!E25</f>
        <v>0</v>
      </c>
      <c r="E25">
        <f>+Hoja2!F25</f>
        <v>50</v>
      </c>
    </row>
    <row r="26" spans="1:5" x14ac:dyDescent="0.25">
      <c r="A26" t="str">
        <f>CONCATENATE(Hoja2!A26,Hoja2!B26)</f>
        <v>V12704927</v>
      </c>
      <c r="B26" t="str">
        <f>+Hoja2!C26</f>
        <v>GOMEZ MEDINA JUAN</v>
      </c>
      <c r="C26">
        <f>+Hoja2!D26</f>
        <v>50</v>
      </c>
      <c r="D26">
        <f>+Hoja2!E26</f>
        <v>0</v>
      </c>
      <c r="E26">
        <f>+Hoja2!F26</f>
        <v>50</v>
      </c>
    </row>
    <row r="27" spans="1:5" x14ac:dyDescent="0.25">
      <c r="A27" t="str">
        <f>CONCATENATE(Hoja2!A27,Hoja2!B27)</f>
        <v>V9552709</v>
      </c>
      <c r="B27" t="str">
        <f>+Hoja2!C27</f>
        <v>GOMEZ MIRNA</v>
      </c>
      <c r="C27">
        <f>+Hoja2!D27</f>
        <v>533.13</v>
      </c>
      <c r="D27">
        <f>+Hoja2!E27</f>
        <v>26.656500000000001</v>
      </c>
      <c r="E27">
        <f>+Hoja2!F27</f>
        <v>506.4735</v>
      </c>
    </row>
    <row r="28" spans="1:5" x14ac:dyDescent="0.25">
      <c r="A28" t="str">
        <f>CONCATENATE(Hoja2!A28,Hoja2!B28)</f>
        <v>V7447067</v>
      </c>
      <c r="B28" t="str">
        <f>+Hoja2!C28</f>
        <v>GONZALEZ GERARDO</v>
      </c>
      <c r="C28">
        <f>+Hoja2!D28</f>
        <v>288.48</v>
      </c>
      <c r="D28">
        <f>+Hoja2!E28</f>
        <v>14.424000000000001</v>
      </c>
      <c r="E28">
        <f>+Hoja2!F28</f>
        <v>274.05600000000004</v>
      </c>
    </row>
    <row r="29" spans="1:5" x14ac:dyDescent="0.25">
      <c r="A29" t="str">
        <f>CONCATENATE(Hoja2!A29,Hoja2!B29)</f>
        <v>V7447067</v>
      </c>
      <c r="B29" t="str">
        <f>+Hoja2!C29</f>
        <v>GONZALEZ GERARDO</v>
      </c>
      <c r="C29">
        <f>+Hoja2!D29</f>
        <v>305.29000000000002</v>
      </c>
      <c r="D29">
        <f>+Hoja2!E29</f>
        <v>15.264500000000002</v>
      </c>
      <c r="E29">
        <f>+Hoja2!F29</f>
        <v>290.02550000000002</v>
      </c>
    </row>
    <row r="30" spans="1:5" x14ac:dyDescent="0.25">
      <c r="A30" t="str">
        <f>CONCATENATE(Hoja2!A30,Hoja2!B30)</f>
        <v>V7447067</v>
      </c>
      <c r="B30" t="str">
        <f>+Hoja2!C30</f>
        <v>GONZALEZ GERARDO</v>
      </c>
      <c r="C30">
        <f>+Hoja2!D30</f>
        <v>663.2</v>
      </c>
      <c r="D30">
        <f>+Hoja2!E30</f>
        <v>33.160000000000004</v>
      </c>
      <c r="E30">
        <f>+Hoja2!F30</f>
        <v>630.04000000000008</v>
      </c>
    </row>
    <row r="31" spans="1:5" x14ac:dyDescent="0.25">
      <c r="A31" t="str">
        <f>CONCATENATE(Hoja2!A31,Hoja2!B31)</f>
        <v>V9615964</v>
      </c>
      <c r="B31" t="str">
        <f>+Hoja2!C31</f>
        <v>GRATEROL YAILILI</v>
      </c>
      <c r="C31">
        <f>+Hoja2!D31</f>
        <v>385.71</v>
      </c>
      <c r="D31">
        <f>+Hoja2!E31</f>
        <v>19.285499999999999</v>
      </c>
      <c r="E31">
        <f>+Hoja2!F31</f>
        <v>366.42449999999997</v>
      </c>
    </row>
    <row r="32" spans="1:5" x14ac:dyDescent="0.25">
      <c r="A32" t="str">
        <f>CONCATENATE(Hoja2!A32,Hoja2!B32)</f>
        <v>V9615964</v>
      </c>
      <c r="B32" t="str">
        <f>+Hoja2!C32</f>
        <v>GRATEROL YAILILI</v>
      </c>
      <c r="C32">
        <f>+Hoja2!D32</f>
        <v>40.22</v>
      </c>
      <c r="D32">
        <f>+Hoja2!E32</f>
        <v>2.0110000000000001</v>
      </c>
      <c r="E32">
        <f>+Hoja2!F32</f>
        <v>38.208999999999996</v>
      </c>
    </row>
    <row r="33" spans="1:5" x14ac:dyDescent="0.25">
      <c r="A33" t="str">
        <f>CONCATENATE(Hoja2!A33,Hoja2!B33)</f>
        <v>V7426046</v>
      </c>
      <c r="B33" t="str">
        <f>+Hoja2!C33</f>
        <v>GUASIMUCARO HENRY</v>
      </c>
      <c r="C33">
        <f>+Hoja2!D33</f>
        <v>892.87</v>
      </c>
      <c r="D33">
        <f>+Hoja2!E33</f>
        <v>44.643500000000003</v>
      </c>
      <c r="E33">
        <f>+Hoja2!F33</f>
        <v>848.22649999999999</v>
      </c>
    </row>
    <row r="34" spans="1:5" x14ac:dyDescent="0.25">
      <c r="A34" t="str">
        <f>CONCATENATE(Hoja2!A34,Hoja2!B34)</f>
        <v>V7426046</v>
      </c>
      <c r="B34" t="str">
        <f>+Hoja2!C34</f>
        <v>GUASIMUCARO HENRY</v>
      </c>
      <c r="C34">
        <f>+Hoja2!D34</f>
        <v>76</v>
      </c>
      <c r="D34">
        <f>+Hoja2!E34</f>
        <v>3.8000000000000003</v>
      </c>
      <c r="E34">
        <f>+Hoja2!F34</f>
        <v>72.2</v>
      </c>
    </row>
    <row r="35" spans="1:5" x14ac:dyDescent="0.25">
      <c r="A35" t="str">
        <f>CONCATENATE(Hoja2!A35,Hoja2!B35)</f>
        <v>V7309375</v>
      </c>
      <c r="B35" t="str">
        <f>+Hoja2!C35</f>
        <v>GUERRA  JOSE</v>
      </c>
      <c r="C35">
        <f>+Hoja2!D35</f>
        <v>278.39999999999998</v>
      </c>
      <c r="D35">
        <f>+Hoja2!E35</f>
        <v>13.92</v>
      </c>
      <c r="E35">
        <f>+Hoja2!F35</f>
        <v>264.47999999999996</v>
      </c>
    </row>
    <row r="36" spans="1:5" x14ac:dyDescent="0.25">
      <c r="A36" t="str">
        <f>CONCATENATE(Hoja2!A36,Hoja2!B36)</f>
        <v>V7309375</v>
      </c>
      <c r="B36" t="str">
        <f>+Hoja2!C36</f>
        <v>GUERRA  JOSE</v>
      </c>
      <c r="C36">
        <f>+Hoja2!D36</f>
        <v>264</v>
      </c>
      <c r="D36">
        <f>+Hoja2!E36</f>
        <v>13.200000000000001</v>
      </c>
      <c r="E36">
        <f>+Hoja2!F36</f>
        <v>250.8</v>
      </c>
    </row>
    <row r="37" spans="1:5" x14ac:dyDescent="0.25">
      <c r="A37" t="str">
        <f>CONCATENATE(Hoja2!A37,Hoja2!B37)</f>
        <v>V4739796</v>
      </c>
      <c r="B37" t="str">
        <f>+Hoja2!C37</f>
        <v>HUGGINS ALVES</v>
      </c>
      <c r="C37">
        <f>+Hoja2!D37</f>
        <v>315.85000000000002</v>
      </c>
      <c r="D37">
        <f>+Hoja2!E37</f>
        <v>15.792500000000002</v>
      </c>
      <c r="E37">
        <f>+Hoja2!F37</f>
        <v>300.0575</v>
      </c>
    </row>
    <row r="38" spans="1:5" x14ac:dyDescent="0.25">
      <c r="A38" t="str">
        <f>CONCATENATE(Hoja2!A38,Hoja2!B38)</f>
        <v>V4731494</v>
      </c>
      <c r="B38" t="str">
        <f>+Hoja2!C38</f>
        <v>JIMENEZ EDGAR SOLANO</v>
      </c>
      <c r="C38">
        <f>+Hoja2!D38</f>
        <v>63.97</v>
      </c>
      <c r="D38">
        <f>+Hoja2!E38</f>
        <v>3.1985000000000001</v>
      </c>
      <c r="E38">
        <f>+Hoja2!F38</f>
        <v>60.771499999999996</v>
      </c>
    </row>
    <row r="39" spans="1:5" x14ac:dyDescent="0.25">
      <c r="A39" t="str">
        <f>CONCATENATE(Hoja2!A39,Hoja2!B39)</f>
        <v>V4731494</v>
      </c>
      <c r="B39" t="str">
        <f>+Hoja2!C39</f>
        <v>JIMENEZ EDGAR SOLANO</v>
      </c>
      <c r="C39">
        <f>+Hoja2!D39</f>
        <v>27.32</v>
      </c>
      <c r="D39">
        <f>+Hoja2!E39</f>
        <v>0</v>
      </c>
      <c r="E39">
        <f>+Hoja2!F39</f>
        <v>27.32</v>
      </c>
    </row>
    <row r="40" spans="1:5" x14ac:dyDescent="0.25">
      <c r="A40" t="str">
        <f>CONCATENATE(Hoja2!A40,Hoja2!B40)</f>
        <v>V13868786</v>
      </c>
      <c r="B40" t="str">
        <f>+Hoja2!C40</f>
        <v>LARA PEREZ VIANNYS</v>
      </c>
      <c r="C40">
        <f>+Hoja2!D40</f>
        <v>392</v>
      </c>
      <c r="D40">
        <f>+Hoja2!E40</f>
        <v>19.600000000000001</v>
      </c>
      <c r="E40">
        <f>+Hoja2!F40</f>
        <v>372.4</v>
      </c>
    </row>
    <row r="41" spans="1:5" x14ac:dyDescent="0.25">
      <c r="A41" t="str">
        <f>CONCATENATE(Hoja2!A41,Hoja2!B41)</f>
        <v>V7401853</v>
      </c>
      <c r="B41" t="str">
        <f>+Hoja2!C41</f>
        <v>LOPEZ ANA</v>
      </c>
      <c r="C41">
        <f>+Hoja2!D41</f>
        <v>514.78</v>
      </c>
      <c r="D41">
        <f>+Hoja2!E41</f>
        <v>25.739000000000001</v>
      </c>
      <c r="E41">
        <f>+Hoja2!F41</f>
        <v>489.041</v>
      </c>
    </row>
    <row r="42" spans="1:5" x14ac:dyDescent="0.25">
      <c r="A42" t="str">
        <f>CONCATENATE(Hoja2!A42,Hoja2!B42)</f>
        <v>V7401853</v>
      </c>
      <c r="B42" t="str">
        <f>+Hoja2!C42</f>
        <v>LOPEZ ANA</v>
      </c>
      <c r="C42">
        <f>+Hoja2!D42</f>
        <v>68.8</v>
      </c>
      <c r="D42">
        <f>+Hoja2!E42</f>
        <v>3.44</v>
      </c>
      <c r="E42">
        <f>+Hoja2!F42</f>
        <v>65.36</v>
      </c>
    </row>
    <row r="43" spans="1:5" x14ac:dyDescent="0.25">
      <c r="A43" t="str">
        <f>CONCATENATE(Hoja2!A43,Hoja2!B43)</f>
        <v>V5765952</v>
      </c>
      <c r="B43" t="str">
        <f>+Hoja2!C43</f>
        <v>LUCENA  JOSE</v>
      </c>
      <c r="C43">
        <f>+Hoja2!D43</f>
        <v>256.8</v>
      </c>
      <c r="D43">
        <f>+Hoja2!E43</f>
        <v>12.840000000000002</v>
      </c>
      <c r="E43">
        <f>+Hoja2!F43</f>
        <v>243.96</v>
      </c>
    </row>
    <row r="44" spans="1:5" x14ac:dyDescent="0.25">
      <c r="A44" t="str">
        <f>CONCATENATE(Hoja2!A44,Hoja2!B44)</f>
        <v>V11883300</v>
      </c>
      <c r="B44" t="str">
        <f>+Hoja2!C44</f>
        <v>MARIN C. ANTONIO</v>
      </c>
      <c r="C44">
        <f>+Hoja2!D44</f>
        <v>612</v>
      </c>
      <c r="D44">
        <f>+Hoja2!E44</f>
        <v>30.6</v>
      </c>
      <c r="E44">
        <f>+Hoja2!F44</f>
        <v>581.4</v>
      </c>
    </row>
    <row r="45" spans="1:5" x14ac:dyDescent="0.25">
      <c r="A45" t="str">
        <f>CONCATENATE(Hoja2!A45,Hoja2!B45)</f>
        <v>V15598933</v>
      </c>
      <c r="B45" t="str">
        <f>+Hoja2!C45</f>
        <v>MARQUEZ LEAL MARCOS</v>
      </c>
      <c r="C45">
        <f>+Hoja2!D45</f>
        <v>335.33</v>
      </c>
      <c r="D45">
        <f>+Hoja2!E45</f>
        <v>16.766500000000001</v>
      </c>
      <c r="E45">
        <f>+Hoja2!F45</f>
        <v>318.56349999999998</v>
      </c>
    </row>
    <row r="46" spans="1:5" x14ac:dyDescent="0.25">
      <c r="A46" t="str">
        <f>CONCATENATE(Hoja2!A46,Hoja2!B46)</f>
        <v>V5925143</v>
      </c>
      <c r="B46" t="str">
        <f>+Hoja2!C46</f>
        <v>MUJICA  ARGENIS</v>
      </c>
      <c r="C46">
        <f>+Hoja2!D46</f>
        <v>89.6</v>
      </c>
      <c r="D46">
        <f>+Hoja2!E46</f>
        <v>4.4799999999999995</v>
      </c>
      <c r="E46">
        <f>+Hoja2!F46</f>
        <v>85.11999999999999</v>
      </c>
    </row>
    <row r="47" spans="1:5" x14ac:dyDescent="0.25">
      <c r="A47" t="str">
        <f>CONCATENATE(Hoja2!A47,Hoja2!B47)</f>
        <v>V7419340</v>
      </c>
      <c r="B47" t="str">
        <f>+Hoja2!C47</f>
        <v>ORELLANA B. WILLIAM</v>
      </c>
      <c r="C47">
        <f>+Hoja2!D47</f>
        <v>204.18</v>
      </c>
      <c r="D47">
        <f>+Hoja2!E47</f>
        <v>10.209000000000001</v>
      </c>
      <c r="E47">
        <f>+Hoja2!F47</f>
        <v>193.971</v>
      </c>
    </row>
    <row r="48" spans="1:5" x14ac:dyDescent="0.25">
      <c r="A48" t="str">
        <f>CONCATENATE(Hoja2!A48,Hoja2!B48)</f>
        <v>V7419340</v>
      </c>
      <c r="B48" t="str">
        <f>+Hoja2!C48</f>
        <v>ORELLANA B. WILLIAM</v>
      </c>
      <c r="C48">
        <f>+Hoja2!D48</f>
        <v>236</v>
      </c>
      <c r="D48">
        <f>+Hoja2!E48</f>
        <v>11.8</v>
      </c>
      <c r="E48">
        <f>+Hoja2!F48</f>
        <v>224.2</v>
      </c>
    </row>
    <row r="49" spans="1:5" x14ac:dyDescent="0.25">
      <c r="A49" t="str">
        <f>CONCATENATE(Hoja2!A49,Hoja2!B49)</f>
        <v>V7388038</v>
      </c>
      <c r="B49" t="str">
        <f>+Hoja2!C49</f>
        <v>ORELLANA FRANCELIZA</v>
      </c>
      <c r="C49">
        <f>+Hoja2!D49</f>
        <v>168</v>
      </c>
      <c r="D49">
        <f>+Hoja2!E49</f>
        <v>8.4</v>
      </c>
      <c r="E49">
        <f>+Hoja2!F49</f>
        <v>159.6</v>
      </c>
    </row>
    <row r="50" spans="1:5" x14ac:dyDescent="0.25">
      <c r="A50" t="str">
        <f>CONCATENATE(Hoja2!A50,Hoja2!B50)</f>
        <v>V3314884</v>
      </c>
      <c r="B50" t="str">
        <f>+Hoja2!C50</f>
        <v>OSTA MARIA</v>
      </c>
      <c r="C50">
        <f>+Hoja2!D50</f>
        <v>435.22</v>
      </c>
      <c r="D50">
        <f>+Hoja2!E50</f>
        <v>21.761000000000003</v>
      </c>
      <c r="E50">
        <f>+Hoja2!F50</f>
        <v>413.459</v>
      </c>
    </row>
    <row r="51" spans="1:5" x14ac:dyDescent="0.25">
      <c r="A51" t="str">
        <f>CONCATENATE(Hoja2!A51,Hoja2!B51)</f>
        <v>V12704649</v>
      </c>
      <c r="B51" t="str">
        <f>+Hoja2!C51</f>
        <v>PE#A CHIRINOS JULIO</v>
      </c>
      <c r="C51">
        <f>+Hoja2!D51</f>
        <v>130.4</v>
      </c>
      <c r="D51">
        <f>+Hoja2!E51</f>
        <v>6.5200000000000005</v>
      </c>
      <c r="E51">
        <f>+Hoja2!F51</f>
        <v>123.88000000000001</v>
      </c>
    </row>
    <row r="52" spans="1:5" x14ac:dyDescent="0.25">
      <c r="A52" t="str">
        <f>CONCATENATE(Hoja2!A52,Hoja2!B52)</f>
        <v>V12704649</v>
      </c>
      <c r="B52" t="str">
        <f>+Hoja2!C52</f>
        <v>PEÑA CHIRINOS JULIO</v>
      </c>
      <c r="C52">
        <f>+Hoja2!D52</f>
        <v>126.4</v>
      </c>
      <c r="D52">
        <f>+Hoja2!E52</f>
        <v>6.32</v>
      </c>
      <c r="E52">
        <f>+Hoja2!F52</f>
        <v>120.08000000000001</v>
      </c>
    </row>
    <row r="53" spans="1:5" x14ac:dyDescent="0.25">
      <c r="A53" t="str">
        <f>CONCATENATE(Hoja2!A53,Hoja2!B53)</f>
        <v>V13187744</v>
      </c>
      <c r="B53" t="str">
        <f>+Hoja2!C53</f>
        <v>PEREZ  JOSE</v>
      </c>
      <c r="C53">
        <f>+Hoja2!D53</f>
        <v>112</v>
      </c>
      <c r="D53">
        <f>+Hoja2!E53</f>
        <v>5.6000000000000005</v>
      </c>
      <c r="E53">
        <f>+Hoja2!F53</f>
        <v>106.4</v>
      </c>
    </row>
    <row r="54" spans="1:5" x14ac:dyDescent="0.25">
      <c r="A54" t="str">
        <f>CONCATENATE(Hoja2!A54,Hoja2!B54)</f>
        <v>V6575243</v>
      </c>
      <c r="B54" t="str">
        <f>+Hoja2!C54</f>
        <v>PEREZ FREDIS</v>
      </c>
      <c r="C54">
        <f>+Hoja2!D54</f>
        <v>286.62</v>
      </c>
      <c r="D54">
        <f>+Hoja2!E54</f>
        <v>14.331000000000001</v>
      </c>
      <c r="E54">
        <f>+Hoja2!F54</f>
        <v>272.28899999999999</v>
      </c>
    </row>
    <row r="55" spans="1:5" x14ac:dyDescent="0.25">
      <c r="A55" t="str">
        <f>CONCATENATE(Hoja2!A55,Hoja2!B55)</f>
        <v>V6575243</v>
      </c>
      <c r="B55" t="str">
        <f>+Hoja2!C55</f>
        <v>PEREZ FREDIS</v>
      </c>
      <c r="C55">
        <f>+Hoja2!D55</f>
        <v>148.80000000000001</v>
      </c>
      <c r="D55">
        <f>+Hoja2!E55</f>
        <v>7.4400000000000013</v>
      </c>
      <c r="E55">
        <f>+Hoja2!F55</f>
        <v>141.36000000000001</v>
      </c>
    </row>
    <row r="56" spans="1:5" x14ac:dyDescent="0.25">
      <c r="A56" t="str">
        <f>CONCATENATE(Hoja2!A56,Hoja2!B56)</f>
        <v>V12698965</v>
      </c>
      <c r="B56" t="str">
        <f>+Hoja2!C56</f>
        <v>PIÑA  DAISY</v>
      </c>
      <c r="C56">
        <f>+Hoja2!D56</f>
        <v>181.69</v>
      </c>
      <c r="D56">
        <f>+Hoja2!E56</f>
        <v>9.0845000000000002</v>
      </c>
      <c r="E56">
        <f>+Hoja2!F56</f>
        <v>172.60550000000001</v>
      </c>
    </row>
    <row r="57" spans="1:5" x14ac:dyDescent="0.25">
      <c r="A57" t="str">
        <f>CONCATENATE(Hoja2!A57,Hoja2!B57)</f>
        <v>V12698965</v>
      </c>
      <c r="B57" t="str">
        <f>+Hoja2!C57</f>
        <v>PIÑA  DAISY</v>
      </c>
      <c r="C57">
        <f>+Hoja2!D57</f>
        <v>173.63</v>
      </c>
      <c r="D57">
        <f>+Hoja2!E57</f>
        <v>8.6814999999999998</v>
      </c>
      <c r="E57">
        <f>+Hoja2!F57</f>
        <v>164.9485</v>
      </c>
    </row>
    <row r="58" spans="1:5" x14ac:dyDescent="0.25">
      <c r="A58" t="str">
        <f>CONCATENATE(Hoja2!A58,Hoja2!B58)</f>
        <v>V2541709</v>
      </c>
      <c r="B58" t="str">
        <f>+Hoja2!C58</f>
        <v>QUINTERO  CARLOS</v>
      </c>
      <c r="C58">
        <f>+Hoja2!D58</f>
        <v>209.78</v>
      </c>
      <c r="D58">
        <f>+Hoja2!E58</f>
        <v>10.489000000000001</v>
      </c>
      <c r="E58">
        <f>+Hoja2!F58</f>
        <v>199.291</v>
      </c>
    </row>
    <row r="59" spans="1:5" x14ac:dyDescent="0.25">
      <c r="A59" t="str">
        <f>CONCATENATE(Hoja2!A59,Hoja2!B59)</f>
        <v>V2541709</v>
      </c>
      <c r="B59" t="str">
        <f>+Hoja2!C59</f>
        <v>QUINTERO  CARLOS</v>
      </c>
      <c r="C59">
        <f>+Hoja2!D59</f>
        <v>197.83</v>
      </c>
      <c r="D59">
        <f>+Hoja2!E59</f>
        <v>9.8915000000000006</v>
      </c>
      <c r="E59">
        <f>+Hoja2!F59</f>
        <v>187.9385</v>
      </c>
    </row>
    <row r="60" spans="1:5" x14ac:dyDescent="0.25">
      <c r="A60" t="str">
        <f>CONCATENATE(Hoja2!A60,Hoja2!B60)</f>
        <v>V7429274</v>
      </c>
      <c r="B60" t="str">
        <f>+Hoja2!C60</f>
        <v>QUINTERO  ROY</v>
      </c>
      <c r="C60">
        <f>+Hoja2!D60</f>
        <v>310.81</v>
      </c>
      <c r="D60">
        <f>+Hoja2!E60</f>
        <v>15.540500000000002</v>
      </c>
      <c r="E60">
        <f>+Hoja2!F60</f>
        <v>295.26949999999999</v>
      </c>
    </row>
    <row r="61" spans="1:5" x14ac:dyDescent="0.25">
      <c r="A61" t="str">
        <f>CONCATENATE(Hoja2!A61,Hoja2!B61)</f>
        <v>V17965237</v>
      </c>
      <c r="B61" t="str">
        <f>+Hoja2!C61</f>
        <v>RAMIREZ LAGUNA JEAN</v>
      </c>
      <c r="C61">
        <f>+Hoja2!D61</f>
        <v>232</v>
      </c>
      <c r="D61">
        <f>+Hoja2!E61</f>
        <v>11.600000000000001</v>
      </c>
      <c r="E61">
        <f>+Hoja2!F61</f>
        <v>220.4</v>
      </c>
    </row>
    <row r="62" spans="1:5" x14ac:dyDescent="0.25">
      <c r="A62" t="str">
        <f>CONCATENATE(Hoja2!A62,Hoja2!B62)</f>
        <v>V10770124</v>
      </c>
      <c r="B62" t="str">
        <f>+Hoja2!C62</f>
        <v>REA ALEXIS</v>
      </c>
      <c r="C62">
        <f>+Hoja2!D62</f>
        <v>316</v>
      </c>
      <c r="D62">
        <f>+Hoja2!E62</f>
        <v>15.8</v>
      </c>
      <c r="E62">
        <f>+Hoja2!F62</f>
        <v>300.2</v>
      </c>
    </row>
    <row r="63" spans="1:5" x14ac:dyDescent="0.25">
      <c r="A63" t="str">
        <f>CONCATENATE(Hoja2!A63,Hoja2!B63)</f>
        <v>V3710064</v>
      </c>
      <c r="B63" t="str">
        <f>+Hoja2!C63</f>
        <v>RIVERO  FREDDY</v>
      </c>
      <c r="C63">
        <f>+Hoja2!D63</f>
        <v>279.2</v>
      </c>
      <c r="D63">
        <f>+Hoja2!E63</f>
        <v>13.96</v>
      </c>
      <c r="E63">
        <f>+Hoja2!F63</f>
        <v>265.24</v>
      </c>
    </row>
    <row r="64" spans="1:5" x14ac:dyDescent="0.25">
      <c r="A64" t="str">
        <f>CONCATENATE(Hoja2!A64,Hoja2!B64)</f>
        <v>V7436077</v>
      </c>
      <c r="B64" t="str">
        <f>+Hoja2!C64</f>
        <v>RODRIGUEZ  C   EVELIO</v>
      </c>
      <c r="C64">
        <f>+Hoja2!D64</f>
        <v>28</v>
      </c>
      <c r="D64">
        <f>+Hoja2!E64</f>
        <v>0</v>
      </c>
      <c r="E64">
        <f>+Hoja2!F64</f>
        <v>28</v>
      </c>
    </row>
    <row r="65" spans="1:5" x14ac:dyDescent="0.25">
      <c r="A65" t="str">
        <f>CONCATENATE(Hoja2!A65,Hoja2!B65)</f>
        <v>V7425063</v>
      </c>
      <c r="B65" t="str">
        <f>+Hoja2!C65</f>
        <v>RODRIGUEZ LIGIA</v>
      </c>
      <c r="C65">
        <f>+Hoja2!D65</f>
        <v>457.6</v>
      </c>
      <c r="D65">
        <f>+Hoja2!E65</f>
        <v>22.880000000000003</v>
      </c>
      <c r="E65">
        <f>+Hoja2!F65</f>
        <v>434.72</v>
      </c>
    </row>
    <row r="66" spans="1:5" x14ac:dyDescent="0.25">
      <c r="A66" t="str">
        <f>CONCATENATE(Hoja2!A66,Hoja2!B66)</f>
        <v>V7373089</v>
      </c>
      <c r="B66" t="str">
        <f>+Hoja2!C66</f>
        <v>SALAS FELIX</v>
      </c>
      <c r="C66">
        <f>+Hoja2!D66</f>
        <v>813.67</v>
      </c>
      <c r="D66">
        <f>+Hoja2!E66</f>
        <v>40.683500000000002</v>
      </c>
      <c r="E66">
        <f>+Hoja2!F66</f>
        <v>772.98649999999998</v>
      </c>
    </row>
    <row r="67" spans="1:5" x14ac:dyDescent="0.25">
      <c r="A67" t="str">
        <f>CONCATENATE(Hoja2!A67,Hoja2!B67)</f>
        <v>V14513487</v>
      </c>
      <c r="B67" t="str">
        <f>+Hoja2!C67</f>
        <v>SANCHEZ SEGOBIA ERIK</v>
      </c>
      <c r="C67">
        <f>+Hoja2!D67</f>
        <v>261.52</v>
      </c>
      <c r="D67">
        <f>+Hoja2!E67</f>
        <v>13.076000000000001</v>
      </c>
      <c r="E67">
        <f>+Hoja2!F67</f>
        <v>248.44399999999999</v>
      </c>
    </row>
    <row r="68" spans="1:5" x14ac:dyDescent="0.25">
      <c r="A68" t="str">
        <f>CONCATENATE(Hoja2!A68,Hoja2!B68)</f>
        <v>V14513487</v>
      </c>
      <c r="B68" t="str">
        <f>+Hoja2!C68</f>
        <v>SANCHEZ SEGOBIA ERIK</v>
      </c>
      <c r="C68">
        <f>+Hoja2!D68</f>
        <v>42.5</v>
      </c>
      <c r="D68">
        <f>+Hoja2!E68</f>
        <v>0</v>
      </c>
      <c r="E68">
        <f>+Hoja2!F68</f>
        <v>42.5</v>
      </c>
    </row>
    <row r="69" spans="1:5" x14ac:dyDescent="0.25">
      <c r="A69" t="str">
        <f>CONCATENATE(Hoja2!A69,Hoja2!B69)</f>
        <v>V8054279</v>
      </c>
      <c r="B69" t="str">
        <f>+Hoja2!C69</f>
        <v>SANDOVAL  DOMITILO</v>
      </c>
      <c r="C69">
        <f>+Hoja2!D69</f>
        <v>316</v>
      </c>
      <c r="D69">
        <f>+Hoja2!E69</f>
        <v>15.8</v>
      </c>
      <c r="E69">
        <f>+Hoja2!F69</f>
        <v>300.2</v>
      </c>
    </row>
    <row r="70" spans="1:5" x14ac:dyDescent="0.25">
      <c r="A70" t="str">
        <f>CONCATENATE(Hoja2!A70,Hoja2!B70)</f>
        <v>V5255641</v>
      </c>
      <c r="B70" t="str">
        <f>+Hoja2!C70</f>
        <v>SOTO EDUARDO</v>
      </c>
      <c r="C70">
        <f>+Hoja2!D70</f>
        <v>240.8</v>
      </c>
      <c r="D70">
        <f>+Hoja2!E70</f>
        <v>12.040000000000001</v>
      </c>
      <c r="E70">
        <f>+Hoja2!F70</f>
        <v>228.76000000000002</v>
      </c>
    </row>
    <row r="71" spans="1:5" x14ac:dyDescent="0.25">
      <c r="A71" t="str">
        <f>CONCATENATE(Hoja2!A71,Hoja2!B71)</f>
        <v>V7322780</v>
      </c>
      <c r="B71" t="str">
        <f>+Hoja2!C71</f>
        <v>SUAREZ  NAURO</v>
      </c>
      <c r="C71">
        <f>+Hoja2!D71</f>
        <v>202</v>
      </c>
      <c r="D71">
        <f>+Hoja2!E71</f>
        <v>10.100000000000001</v>
      </c>
      <c r="E71">
        <f>+Hoja2!F71</f>
        <v>191.9</v>
      </c>
    </row>
    <row r="72" spans="1:5" x14ac:dyDescent="0.25">
      <c r="A72" t="str">
        <f>CONCATENATE(Hoja2!A72,Hoja2!B72)</f>
        <v>V7331943</v>
      </c>
      <c r="B72" t="str">
        <f>+Hoja2!C72</f>
        <v>SUAREZ JOSE</v>
      </c>
      <c r="C72">
        <f>+Hoja2!D72</f>
        <v>291.58</v>
      </c>
      <c r="D72">
        <f>+Hoja2!E72</f>
        <v>14.579000000000001</v>
      </c>
      <c r="E72">
        <f>+Hoja2!F72</f>
        <v>277.00099999999998</v>
      </c>
    </row>
    <row r="73" spans="1:5" x14ac:dyDescent="0.25">
      <c r="A73" t="str">
        <f>CONCATENATE(Hoja2!A73,Hoja2!B73)</f>
        <v>V11633896</v>
      </c>
      <c r="B73" t="str">
        <f>+Hoja2!C73</f>
        <v>TORO AQUILES</v>
      </c>
      <c r="C73">
        <f>+Hoja2!D73</f>
        <v>223</v>
      </c>
      <c r="D73">
        <f>+Hoja2!E73</f>
        <v>11.15</v>
      </c>
      <c r="E73">
        <f>+Hoja2!F73</f>
        <v>211.85</v>
      </c>
    </row>
    <row r="74" spans="1:5" x14ac:dyDescent="0.25">
      <c r="A74" t="str">
        <f>CONCATENATE(Hoja2!A74,Hoja2!B74)</f>
        <v>V11633896</v>
      </c>
      <c r="B74" t="str">
        <f>+Hoja2!C74</f>
        <v>TORO AQUILES</v>
      </c>
      <c r="C74">
        <f>+Hoja2!D74</f>
        <v>376.36</v>
      </c>
      <c r="D74">
        <f>+Hoja2!E74</f>
        <v>18.818000000000001</v>
      </c>
      <c r="E74">
        <f>+Hoja2!F74</f>
        <v>357.54200000000003</v>
      </c>
    </row>
    <row r="75" spans="1:5" x14ac:dyDescent="0.25">
      <c r="A75" t="str">
        <f>CONCATENATE(Hoja2!A75,Hoja2!B75)</f>
        <v>V7983170</v>
      </c>
      <c r="B75" t="str">
        <f>+Hoja2!C75</f>
        <v>TORRES PURA</v>
      </c>
      <c r="C75">
        <f>+Hoja2!D75</f>
        <v>314.66000000000003</v>
      </c>
      <c r="D75">
        <f>+Hoja2!E75</f>
        <v>15.733000000000002</v>
      </c>
      <c r="E75">
        <f>+Hoja2!F75</f>
        <v>298.92700000000002</v>
      </c>
    </row>
    <row r="76" spans="1:5" x14ac:dyDescent="0.25">
      <c r="A76" t="str">
        <f>CONCATENATE(Hoja2!A76,Hoja2!B76)</f>
        <v>V7347856</v>
      </c>
      <c r="B76" t="str">
        <f>+Hoja2!C76</f>
        <v>UZCATEGUI  EMILIA</v>
      </c>
      <c r="C76">
        <f>+Hoja2!D76</f>
        <v>759</v>
      </c>
      <c r="D76">
        <f>+Hoja2!E76</f>
        <v>37.950000000000003</v>
      </c>
      <c r="E76">
        <f>+Hoja2!F76</f>
        <v>721.05</v>
      </c>
    </row>
    <row r="77" spans="1:5" x14ac:dyDescent="0.25">
      <c r="A77" t="str">
        <f>CONCATENATE(Hoja2!A77,Hoja2!B77)</f>
        <v>V7347856</v>
      </c>
      <c r="B77" t="str">
        <f>+Hoja2!C77</f>
        <v>UZCATEGUI  EMILIA</v>
      </c>
      <c r="C77">
        <f>+Hoja2!D77</f>
        <v>1321.17</v>
      </c>
      <c r="D77">
        <f>+Hoja2!E77</f>
        <v>66.058500000000009</v>
      </c>
      <c r="E77">
        <f>+Hoja2!F77</f>
        <v>1255.1115</v>
      </c>
    </row>
    <row r="78" spans="1:5" x14ac:dyDescent="0.25">
      <c r="A78" t="str">
        <f>CONCATENATE(Hoja2!A78,Hoja2!B78)</f>
        <v>V7347856</v>
      </c>
      <c r="B78" t="str">
        <f>+Hoja2!C78</f>
        <v>UZCATEGUI  EMILIA</v>
      </c>
      <c r="C78">
        <f>+Hoja2!D78</f>
        <v>247.6</v>
      </c>
      <c r="D78">
        <f>+Hoja2!E78</f>
        <v>12.38</v>
      </c>
      <c r="E78">
        <f>+Hoja2!F78</f>
        <v>235.22</v>
      </c>
    </row>
    <row r="79" spans="1:5" x14ac:dyDescent="0.25">
      <c r="A79" t="str">
        <f>CONCATENATE(Hoja2!A79,Hoja2!B79)</f>
        <v>V7312149</v>
      </c>
      <c r="B79" t="str">
        <f>+Hoja2!C79</f>
        <v>VARGAS  CARMEN</v>
      </c>
      <c r="C79">
        <f>+Hoja2!D79</f>
        <v>546</v>
      </c>
      <c r="D79">
        <f>+Hoja2!E79</f>
        <v>27.3</v>
      </c>
      <c r="E79">
        <f>+Hoja2!F79</f>
        <v>518.70000000000005</v>
      </c>
    </row>
    <row r="80" spans="1:5" x14ac:dyDescent="0.25">
      <c r="A80" t="str">
        <f>CONCATENATE(Hoja2!A80,Hoja2!B80)</f>
        <v>V13510180</v>
      </c>
      <c r="B80" t="str">
        <f>+Hoja2!C80</f>
        <v>VASQUEZ JHONNYS</v>
      </c>
      <c r="C80">
        <f>+Hoja2!D80</f>
        <v>516</v>
      </c>
      <c r="D80">
        <f>+Hoja2!E80</f>
        <v>25.8</v>
      </c>
      <c r="E80">
        <f>+Hoja2!F80</f>
        <v>490.2</v>
      </c>
    </row>
    <row r="81" spans="1:5" x14ac:dyDescent="0.25">
      <c r="A81" t="str">
        <f>CONCATENATE(Hoja2!A81,Hoja2!B81)</f>
        <v>V13510180</v>
      </c>
      <c r="B81" t="str">
        <f>+Hoja2!C81</f>
        <v>VASQUEZ JHONNYS</v>
      </c>
      <c r="C81">
        <f>+Hoja2!D81</f>
        <v>212.15</v>
      </c>
      <c r="D81">
        <f>+Hoja2!E81</f>
        <v>10.607500000000002</v>
      </c>
      <c r="E81">
        <f>+Hoja2!F81</f>
        <v>201.54250000000002</v>
      </c>
    </row>
    <row r="82" spans="1:5" x14ac:dyDescent="0.25">
      <c r="A82" t="str">
        <f>CONCATENATE(Hoja2!A82,Hoja2!B82)</f>
        <v>V16137706</v>
      </c>
      <c r="B82" t="str">
        <f>+Hoja2!C82</f>
        <v>VASQUEZ U. EDIXON</v>
      </c>
      <c r="C82">
        <f>+Hoja2!D82</f>
        <v>146.4</v>
      </c>
      <c r="D82">
        <f>+Hoja2!E82</f>
        <v>7.32</v>
      </c>
      <c r="E82">
        <f>+Hoja2!F82</f>
        <v>139.08000000000001</v>
      </c>
    </row>
    <row r="83" spans="1:5" x14ac:dyDescent="0.25">
      <c r="A83" t="str">
        <f>CONCATENATE(Hoja2!A83,Hoja2!B83)</f>
        <v>V15668151</v>
      </c>
      <c r="B83" t="str">
        <f>+Hoja2!C83</f>
        <v>VIRGUEZ U PAUCIDES A</v>
      </c>
      <c r="C83">
        <f>+Hoja2!D83</f>
        <v>1004.8</v>
      </c>
      <c r="D83">
        <f>+Hoja2!E83</f>
        <v>50.24</v>
      </c>
      <c r="E83">
        <f>+Hoja2!F83</f>
        <v>954.56</v>
      </c>
    </row>
    <row r="84" spans="1:5" x14ac:dyDescent="0.25">
      <c r="A84" t="str">
        <f>CONCATENATE(Hoja2!A84,Hoja2!B84)</f>
        <v>V15668151</v>
      </c>
      <c r="B84" t="str">
        <f>+Hoja2!C84</f>
        <v>VIRGUEZ U PAUCIDES A</v>
      </c>
      <c r="C84">
        <f>+Hoja2!D84</f>
        <v>269.18</v>
      </c>
      <c r="D84">
        <f>+Hoja2!E84</f>
        <v>13.459000000000001</v>
      </c>
      <c r="E84">
        <f>+Hoja2!F84</f>
        <v>255.721</v>
      </c>
    </row>
    <row r="85" spans="1:5" x14ac:dyDescent="0.25">
      <c r="A85" t="str">
        <f>CONCATENATE(Hoja2!A85,Hoja2!B85)</f>
        <v>V7449457</v>
      </c>
      <c r="B85" t="str">
        <f>+Hoja2!C85</f>
        <v>VISCAYA PEDRO</v>
      </c>
      <c r="C85">
        <f>+Hoja2!D85</f>
        <v>77.05</v>
      </c>
      <c r="D85">
        <f>+Hoja2!E85</f>
        <v>3.8525</v>
      </c>
      <c r="E85">
        <f>+Hoja2!F85</f>
        <v>73.197499999999991</v>
      </c>
    </row>
    <row r="86" spans="1:5" x14ac:dyDescent="0.25">
      <c r="A86" t="str">
        <f>CONCATENATE(Hoja2!A86,Hoja2!B86)</f>
        <v>V5436619</v>
      </c>
      <c r="B86" t="str">
        <f>+Hoja2!C86</f>
        <v>YUSTIZ JOSE</v>
      </c>
      <c r="C86">
        <f>+Hoja2!D86</f>
        <v>1584</v>
      </c>
      <c r="D86">
        <f>+Hoja2!E86</f>
        <v>79.2</v>
      </c>
      <c r="E86">
        <f>+Hoja2!F86</f>
        <v>1504.8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farmacia universidad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farmacia universidad cappoucla</dc:creator>
  <cp:lastModifiedBy>desarrollo</cp:lastModifiedBy>
  <dcterms:created xsi:type="dcterms:W3CDTF">2012-11-27T20:15:34Z</dcterms:created>
  <dcterms:modified xsi:type="dcterms:W3CDTF">2012-12-06T13:12:31Z</dcterms:modified>
</cp:coreProperties>
</file>