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35" windowHeight="8070" activeTab="1"/>
  </bookViews>
  <sheets>
    <sheet name="CAPPO" sheetId="1" r:id="rId1"/>
    <sheet name="Hoja1" sheetId="2" r:id="rId2"/>
  </sheets>
  <definedNames>
    <definedName name="_xlnm.Print_Area" localSheetId="0">CAPPO!$A$1:$J$85</definedName>
  </definedNames>
  <calcPr calcId="144525"/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1" i="2"/>
  <c r="B2" i="2" l="1"/>
  <c r="C2" i="2"/>
  <c r="E2" i="2"/>
  <c r="B3" i="2"/>
  <c r="C3" i="2"/>
  <c r="E3" i="2" s="1"/>
  <c r="B4" i="2"/>
  <c r="C4" i="2"/>
  <c r="E4" i="2"/>
  <c r="B5" i="2"/>
  <c r="C5" i="2"/>
  <c r="E5" i="2" s="1"/>
  <c r="B6" i="2"/>
  <c r="C6" i="2"/>
  <c r="E6" i="2"/>
  <c r="B7" i="2"/>
  <c r="C7" i="2"/>
  <c r="E7" i="2" s="1"/>
  <c r="B8" i="2"/>
  <c r="C8" i="2"/>
  <c r="E8" i="2"/>
  <c r="B9" i="2"/>
  <c r="C9" i="2"/>
  <c r="E9" i="2" s="1"/>
  <c r="B10" i="2"/>
  <c r="C10" i="2"/>
  <c r="E10" i="2"/>
  <c r="B11" i="2"/>
  <c r="C11" i="2"/>
  <c r="E11" i="2" s="1"/>
  <c r="B12" i="2"/>
  <c r="C12" i="2"/>
  <c r="E12" i="2"/>
  <c r="B13" i="2"/>
  <c r="C13" i="2"/>
  <c r="E13" i="2" s="1"/>
  <c r="B14" i="2"/>
  <c r="C14" i="2"/>
  <c r="E14" i="2"/>
  <c r="B15" i="2"/>
  <c r="C15" i="2"/>
  <c r="E15" i="2" s="1"/>
  <c r="B16" i="2"/>
  <c r="C16" i="2"/>
  <c r="E16" i="2"/>
  <c r="B17" i="2"/>
  <c r="C17" i="2"/>
  <c r="E17" i="2" s="1"/>
  <c r="B18" i="2"/>
  <c r="C18" i="2"/>
  <c r="E18" i="2"/>
  <c r="B19" i="2"/>
  <c r="C19" i="2"/>
  <c r="E19" i="2" s="1"/>
  <c r="B20" i="2"/>
  <c r="C20" i="2"/>
  <c r="E20" i="2"/>
  <c r="B21" i="2"/>
  <c r="C21" i="2"/>
  <c r="E21" i="2" s="1"/>
  <c r="B22" i="2"/>
  <c r="C22" i="2"/>
  <c r="E22" i="2"/>
  <c r="B23" i="2"/>
  <c r="C23" i="2"/>
  <c r="E23" i="2" s="1"/>
  <c r="B24" i="2"/>
  <c r="C24" i="2"/>
  <c r="E24" i="2"/>
  <c r="B25" i="2"/>
  <c r="C25" i="2"/>
  <c r="E25" i="2" s="1"/>
  <c r="B26" i="2"/>
  <c r="C26" i="2"/>
  <c r="E26" i="2"/>
  <c r="B27" i="2"/>
  <c r="C27" i="2"/>
  <c r="E27" i="2" s="1"/>
  <c r="B28" i="2"/>
  <c r="C28" i="2"/>
  <c r="E28" i="2"/>
  <c r="B29" i="2"/>
  <c r="C29" i="2"/>
  <c r="E29" i="2" s="1"/>
  <c r="B30" i="2"/>
  <c r="C30" i="2"/>
  <c r="E30" i="2"/>
  <c r="B31" i="2"/>
  <c r="C31" i="2"/>
  <c r="E31" i="2" s="1"/>
  <c r="B32" i="2"/>
  <c r="C32" i="2"/>
  <c r="E32" i="2"/>
  <c r="B33" i="2"/>
  <c r="C33" i="2"/>
  <c r="E33" i="2" s="1"/>
  <c r="B34" i="2"/>
  <c r="C34" i="2"/>
  <c r="E34" i="2"/>
  <c r="B35" i="2"/>
  <c r="C35" i="2"/>
  <c r="E35" i="2" s="1"/>
  <c r="B36" i="2"/>
  <c r="C36" i="2"/>
  <c r="E36" i="2"/>
  <c r="B37" i="2"/>
  <c r="C37" i="2"/>
  <c r="E37" i="2" s="1"/>
  <c r="B38" i="2"/>
  <c r="C38" i="2"/>
  <c r="E38" i="2"/>
  <c r="B39" i="2"/>
  <c r="C39" i="2"/>
  <c r="E39" i="2" s="1"/>
  <c r="B40" i="2"/>
  <c r="C40" i="2"/>
  <c r="E40" i="2"/>
  <c r="B41" i="2"/>
  <c r="C41" i="2"/>
  <c r="E41" i="2" s="1"/>
  <c r="B42" i="2"/>
  <c r="C42" i="2"/>
  <c r="E42" i="2"/>
  <c r="B43" i="2"/>
  <c r="C43" i="2"/>
  <c r="E43" i="2" s="1"/>
  <c r="B44" i="2"/>
  <c r="C44" i="2"/>
  <c r="E44" i="2"/>
  <c r="B45" i="2"/>
  <c r="C45" i="2"/>
  <c r="E45" i="2" s="1"/>
  <c r="B46" i="2"/>
  <c r="C46" i="2"/>
  <c r="E46" i="2"/>
  <c r="B47" i="2"/>
  <c r="C47" i="2"/>
  <c r="E47" i="2" s="1"/>
  <c r="B48" i="2"/>
  <c r="C48" i="2"/>
  <c r="E48" i="2"/>
  <c r="B49" i="2"/>
  <c r="C49" i="2"/>
  <c r="E49" i="2" s="1"/>
  <c r="B50" i="2"/>
  <c r="C50" i="2"/>
  <c r="E50" i="2"/>
  <c r="B51" i="2"/>
  <c r="C51" i="2"/>
  <c r="E51" i="2" s="1"/>
  <c r="B52" i="2"/>
  <c r="C52" i="2"/>
  <c r="E52" i="2"/>
  <c r="B53" i="2"/>
  <c r="C53" i="2"/>
  <c r="E53" i="2" s="1"/>
  <c r="B54" i="2"/>
  <c r="C54" i="2"/>
  <c r="E54" i="2"/>
  <c r="B55" i="2"/>
  <c r="C55" i="2"/>
  <c r="E55" i="2" s="1"/>
  <c r="B56" i="2"/>
  <c r="C56" i="2"/>
  <c r="E56" i="2"/>
  <c r="B57" i="2"/>
  <c r="C57" i="2"/>
  <c r="E57" i="2" s="1"/>
  <c r="B58" i="2"/>
  <c r="C58" i="2"/>
  <c r="E58" i="2"/>
  <c r="B59" i="2"/>
  <c r="C59" i="2"/>
  <c r="E59" i="2" s="1"/>
  <c r="B60" i="2"/>
  <c r="C60" i="2"/>
  <c r="E60" i="2"/>
  <c r="B61" i="2"/>
  <c r="C61" i="2"/>
  <c r="E61" i="2" s="1"/>
  <c r="B62" i="2"/>
  <c r="C62" i="2"/>
  <c r="E62" i="2"/>
  <c r="B63" i="2"/>
  <c r="C63" i="2"/>
  <c r="E63" i="2" s="1"/>
  <c r="B64" i="2"/>
  <c r="C64" i="2"/>
  <c r="E64" i="2"/>
  <c r="B65" i="2"/>
  <c r="C65" i="2"/>
  <c r="E65" i="2" s="1"/>
  <c r="B66" i="2"/>
  <c r="C66" i="2"/>
  <c r="E66" i="2"/>
  <c r="B67" i="2"/>
  <c r="C67" i="2"/>
  <c r="E67" i="2" s="1"/>
  <c r="B68" i="2"/>
  <c r="C68" i="2"/>
  <c r="E68" i="2"/>
  <c r="B69" i="2"/>
  <c r="C69" i="2"/>
  <c r="E69" i="2" s="1"/>
  <c r="B70" i="2"/>
  <c r="C70" i="2"/>
  <c r="E70" i="2"/>
  <c r="B71" i="2"/>
  <c r="C71" i="2"/>
  <c r="E71" i="2" s="1"/>
  <c r="B72" i="2"/>
  <c r="C72" i="2"/>
  <c r="E72" i="2"/>
  <c r="B73" i="2"/>
  <c r="C73" i="2"/>
  <c r="E73" i="2" s="1"/>
  <c r="B74" i="2"/>
  <c r="C74" i="2"/>
  <c r="E74" i="2"/>
  <c r="B75" i="2"/>
  <c r="C75" i="2"/>
  <c r="E75" i="2" s="1"/>
  <c r="E1" i="2"/>
  <c r="C1" i="2"/>
  <c r="B1" i="2"/>
  <c r="J60" i="1" l="1"/>
  <c r="J61" i="1"/>
  <c r="J69" i="1"/>
  <c r="J68" i="1"/>
  <c r="J75" i="1" l="1"/>
  <c r="J76" i="1"/>
  <c r="J77" i="1"/>
  <c r="J78" i="1"/>
  <c r="J79" i="1"/>
  <c r="J80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2" i="1"/>
  <c r="J63" i="1"/>
  <c r="J64" i="1"/>
  <c r="J65" i="1"/>
  <c r="J66" i="1"/>
  <c r="J67" i="1"/>
  <c r="J70" i="1"/>
  <c r="J71" i="1"/>
  <c r="J72" i="1"/>
  <c r="J73" i="1"/>
  <c r="J74" i="1"/>
  <c r="J81" i="1"/>
  <c r="J82" i="1"/>
  <c r="J83" i="1"/>
  <c r="J84" i="1"/>
  <c r="J85" i="1"/>
  <c r="J86" i="1"/>
  <c r="J13" i="1"/>
  <c r="J14" i="1"/>
  <c r="J15" i="1"/>
  <c r="J16" i="1"/>
  <c r="J17" i="1"/>
  <c r="J18" i="1"/>
  <c r="J19" i="1"/>
  <c r="J20" i="1"/>
  <c r="J21" i="1"/>
  <c r="J12" i="1"/>
  <c r="J87" i="1" l="1"/>
  <c r="G90" i="1" s="1"/>
  <c r="G87" i="1"/>
  <c r="H87" i="1"/>
</calcChain>
</file>

<file path=xl/sharedStrings.xml><?xml version="1.0" encoding="utf-8"?>
<sst xmlns="http://schemas.openxmlformats.org/spreadsheetml/2006/main" count="98" uniqueCount="71">
  <si>
    <t xml:space="preserve">FARMACIA UNIVERSIDAD </t>
  </si>
  <si>
    <t>C A P P O - U C L A</t>
  </si>
  <si>
    <t>Carrera 21 entre Calles 12 y 13 Nro 12-13 telef. 0251-2524973/2527081</t>
  </si>
  <si>
    <t>Relación de Cobranza</t>
  </si>
  <si>
    <t>Fecha</t>
  </si>
  <si>
    <t>Cédula</t>
  </si>
  <si>
    <t>Cod. Socio</t>
  </si>
  <si>
    <t>Dcto. Cap.</t>
  </si>
  <si>
    <t>IVA</t>
  </si>
  <si>
    <t>Elaborado Por:</t>
  </si>
  <si>
    <t xml:space="preserve">Recibido: (Firma y Sello) </t>
  </si>
  <si>
    <t xml:space="preserve"> CAPPO - UCLA</t>
  </si>
  <si>
    <t>Cliente</t>
  </si>
  <si>
    <t>Total Factura</t>
  </si>
  <si>
    <t>Dcto.</t>
  </si>
  <si>
    <t>CAPPO UCLA</t>
  </si>
  <si>
    <t>RIF: J-315805855</t>
  </si>
  <si>
    <t xml:space="preserve">TOTALES: </t>
  </si>
  <si>
    <t>TOTAL A PAGAR</t>
  </si>
  <si>
    <t>Factura #</t>
  </si>
  <si>
    <t>Base Imponible</t>
  </si>
  <si>
    <t>DURAN  ADRIAN</t>
  </si>
  <si>
    <t>GARCIA GUSTAVO</t>
  </si>
  <si>
    <t>FLORES JOSE</t>
  </si>
  <si>
    <t>PUERTA A. ELIZABETH</t>
  </si>
  <si>
    <t>CASTILLO M. EDGAR</t>
  </si>
  <si>
    <t>GOMEZ MEDINA JUAN</t>
  </si>
  <si>
    <t>DIAZ LEAL DANIEL</t>
  </si>
  <si>
    <t>HERNANDEZ  CARLOS</t>
  </si>
  <si>
    <t>BELLO C. CRISTIAN R.</t>
  </si>
  <si>
    <t>TORO AQUILES</t>
  </si>
  <si>
    <t>MENDEZ MARLENE</t>
  </si>
  <si>
    <t>PIÑA RAFAEL</t>
  </si>
  <si>
    <t>PEREZ AVILA LUIS</t>
  </si>
  <si>
    <t>RODRIGUEZ KENYER</t>
  </si>
  <si>
    <t>PEROZO GREGORIO</t>
  </si>
  <si>
    <t>SUAREZ MARTINEZ ALEX</t>
  </si>
  <si>
    <t>GOMEZ MIRNA</t>
  </si>
  <si>
    <t>RODRIGUEZ WILLIAM</t>
  </si>
  <si>
    <t>ANZOLA BLADIMIR</t>
  </si>
  <si>
    <t>URETA JORGE V.</t>
  </si>
  <si>
    <t>VISCAYA PEDRO</t>
  </si>
  <si>
    <t>GARCIA JOHAN</t>
  </si>
  <si>
    <t>ZAPATA  MILDRED</t>
  </si>
  <si>
    <t>BARRIOS B. PATRICIA</t>
  </si>
  <si>
    <t>OSTA MARIA</t>
  </si>
  <si>
    <t>CORRALES CLARISA</t>
  </si>
  <si>
    <t>MENDOZA TUA IGNACIO</t>
  </si>
  <si>
    <t>GUERRA  JOSE</t>
  </si>
  <si>
    <t>RODRIGUEZ LIGIA</t>
  </si>
  <si>
    <t>QUINTERO  MARIA</t>
  </si>
  <si>
    <t>CASTILLO  JOSE</t>
  </si>
  <si>
    <t>TORRES VIVAS JUVENAL</t>
  </si>
  <si>
    <t>VASQUEZ FRANKLIN</t>
  </si>
  <si>
    <t>GOMEZ ARACELIS</t>
  </si>
  <si>
    <t>RIOS  LUIS</t>
  </si>
  <si>
    <t>MARQUEZ JOSE LUIS</t>
  </si>
  <si>
    <t>SUAREZ PEROZO DIXON</t>
  </si>
  <si>
    <t>LUCENA  JOSE</t>
  </si>
  <si>
    <t>VELASQUEZ  EMILIO</t>
  </si>
  <si>
    <t>MEDINA R. LUIS</t>
  </si>
  <si>
    <t>ESCALONA OVIEDO CARLOS</t>
  </si>
  <si>
    <t>CHIRINOS CARLOS GREGORIO</t>
  </si>
  <si>
    <t>GONZALEZ PINEDA KEIDA</t>
  </si>
  <si>
    <t xml:space="preserve">RODRIGUEZ A. YOVANNY </t>
  </si>
  <si>
    <t>SANCHEZ  ROSA VIRGINIA</t>
  </si>
  <si>
    <t>VALECILLOS GIAN CARLOS</t>
  </si>
  <si>
    <t>Ana Vasquez</t>
  </si>
  <si>
    <t>Desde  01/04/17 AL 30/04/17</t>
  </si>
  <si>
    <t>SANCHEZ GLENDA MAR</t>
  </si>
  <si>
    <t>RODRIGUEZ AIDA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</si>
</sst>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;[Red]#,##0.00"/>
    <numFmt numFmtId="165" formatCode="#,##0;[Red]#,##0"/>
    <numFmt numFmtId="166" formatCode="_([$€-2]\ * #,##0.00_);_([$€-2]\ * \(#,##0.00\);_([$€-2]\ * &quot;-&quot;??_)"/>
    <numFmt numFmtId="167" formatCode="dd/mm/yy;@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18"/>
      <name val="Arial Narrow"/>
      <family val="2"/>
    </font>
    <font>
      <sz val="9"/>
      <name val="Agency FB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2"/>
      <color indexed="18"/>
      <name val="Arial Black"/>
      <family val="2"/>
    </font>
    <font>
      <b/>
      <sz val="12"/>
      <color indexed="18"/>
      <name val="Copperplate Gothic Light"/>
      <family val="2"/>
    </font>
    <font>
      <sz val="12"/>
      <color indexed="18"/>
      <name val="Arial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name val="Arial"/>
      <family val="2"/>
    </font>
    <font>
      <b/>
      <sz val="16"/>
      <name val="Agency FB"/>
      <family val="2"/>
    </font>
    <font>
      <b/>
      <sz val="14"/>
      <name val="Agency FB"/>
      <family val="2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gency FB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6" fontId="2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1" applyFont="1" applyAlignment="1"/>
    <xf numFmtId="164" fontId="4" fillId="0" borderId="3" xfId="1" applyNumberFormat="1" applyFont="1" applyBorder="1" applyAlignment="1">
      <alignment horizontal="center"/>
    </xf>
    <xf numFmtId="49" fontId="0" fillId="0" borderId="0" xfId="0" applyNumberFormat="1"/>
    <xf numFmtId="0" fontId="3" fillId="0" borderId="0" xfId="1" applyFont="1" applyAlignment="1">
      <alignment horizontal="center"/>
    </xf>
    <xf numFmtId="49" fontId="6" fillId="0" borderId="3" xfId="1" applyNumberFormat="1" applyFont="1" applyBorder="1" applyAlignment="1">
      <alignment horizontal="center"/>
    </xf>
    <xf numFmtId="164" fontId="6" fillId="0" borderId="3" xfId="1" applyNumberFormat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49" fontId="7" fillId="0" borderId="3" xfId="1" applyNumberFormat="1" applyFont="1" applyBorder="1" applyAlignment="1">
      <alignment horizontal="center"/>
    </xf>
    <xf numFmtId="165" fontId="7" fillId="0" borderId="3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7" fillId="0" borderId="3" xfId="1" applyNumberFormat="1" applyFont="1" applyBorder="1" applyAlignment="1">
      <alignment horizontal="center"/>
    </xf>
    <xf numFmtId="0" fontId="8" fillId="0" borderId="6" xfId="0" applyFont="1" applyBorder="1" applyAlignment="1"/>
    <xf numFmtId="0" fontId="0" fillId="0" borderId="0" xfId="0" applyBorder="1" applyAlignment="1"/>
    <xf numFmtId="0" fontId="0" fillId="0" borderId="6" xfId="0" applyBorder="1"/>
    <xf numFmtId="0" fontId="0" fillId="0" borderId="0" xfId="0" applyBorder="1"/>
    <xf numFmtId="165" fontId="0" fillId="0" borderId="0" xfId="0" applyNumberFormat="1" applyBorder="1"/>
    <xf numFmtId="164" fontId="7" fillId="0" borderId="3" xfId="1" applyNumberFormat="1" applyFont="1" applyBorder="1" applyAlignment="1"/>
    <xf numFmtId="164" fontId="6" fillId="0" borderId="3" xfId="1" applyNumberFormat="1" applyFont="1" applyBorder="1" applyAlignment="1"/>
    <xf numFmtId="0" fontId="0" fillId="0" borderId="0" xfId="0" applyAlignment="1"/>
    <xf numFmtId="0" fontId="13" fillId="0" borderId="0" xfId="0" applyFont="1"/>
    <xf numFmtId="164" fontId="12" fillId="0" borderId="5" xfId="0" applyNumberFormat="1" applyFont="1" applyBorder="1"/>
    <xf numFmtId="0" fontId="12" fillId="0" borderId="5" xfId="0" applyFont="1" applyBorder="1"/>
    <xf numFmtId="165" fontId="6" fillId="0" borderId="3" xfId="1" applyNumberFormat="1" applyFont="1" applyBorder="1" applyAlignment="1">
      <alignment horizontal="center"/>
    </xf>
    <xf numFmtId="4" fontId="0" fillId="0" borderId="0" xfId="0" applyNumberFormat="1"/>
    <xf numFmtId="0" fontId="6" fillId="0" borderId="0" xfId="0" applyFont="1"/>
    <xf numFmtId="164" fontId="3" fillId="0" borderId="0" xfId="1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5" fillId="0" borderId="0" xfId="1" applyNumberFormat="1" applyFont="1" applyBorder="1" applyAlignment="1">
      <alignment horizontal="center" vertical="center"/>
    </xf>
    <xf numFmtId="164" fontId="16" fillId="0" borderId="0" xfId="1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/>
    </xf>
    <xf numFmtId="164" fontId="16" fillId="0" borderId="3" xfId="1" applyNumberFormat="1" applyFont="1" applyBorder="1" applyAlignment="1">
      <alignment horizontal="center" vertical="center"/>
    </xf>
    <xf numFmtId="49" fontId="0" fillId="0" borderId="0" xfId="0" applyNumberFormat="1" applyBorder="1"/>
    <xf numFmtId="0" fontId="0" fillId="0" borderId="0" xfId="0" applyAlignment="1">
      <alignment horizontal="center"/>
    </xf>
    <xf numFmtId="0" fontId="14" fillId="0" borderId="0" xfId="1" applyFont="1" applyBorder="1" applyAlignment="1">
      <alignment horizontal="center"/>
    </xf>
    <xf numFmtId="3" fontId="6" fillId="0" borderId="3" xfId="1" applyNumberFormat="1" applyFont="1" applyBorder="1" applyAlignment="1">
      <alignment horizontal="center"/>
    </xf>
    <xf numFmtId="0" fontId="0" fillId="0" borderId="3" xfId="0" applyFont="1" applyBorder="1"/>
    <xf numFmtId="3" fontId="0" fillId="0" borderId="3" xfId="0" applyNumberFormat="1" applyFont="1" applyBorder="1"/>
    <xf numFmtId="4" fontId="0" fillId="0" borderId="3" xfId="0" applyNumberFormat="1" applyFont="1" applyBorder="1"/>
    <xf numFmtId="164" fontId="0" fillId="0" borderId="3" xfId="0" applyNumberFormat="1" applyFont="1" applyBorder="1"/>
    <xf numFmtId="167" fontId="0" fillId="0" borderId="3" xfId="0" applyNumberFormat="1" applyFont="1" applyBorder="1"/>
    <xf numFmtId="164" fontId="18" fillId="0" borderId="3" xfId="1" applyNumberFormat="1" applyFont="1" applyBorder="1" applyAlignment="1">
      <alignment horizontal="center"/>
    </xf>
    <xf numFmtId="164" fontId="19" fillId="0" borderId="3" xfId="1" applyNumberFormat="1" applyFont="1" applyBorder="1" applyAlignment="1">
      <alignment horizontal="center"/>
    </xf>
    <xf numFmtId="0" fontId="5" fillId="0" borderId="8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right"/>
    </xf>
    <xf numFmtId="164" fontId="16" fillId="0" borderId="3" xfId="1" applyNumberFormat="1" applyFont="1" applyBorder="1" applyAlignment="1">
      <alignment horizontal="center" vertical="center"/>
    </xf>
    <xf numFmtId="164" fontId="15" fillId="0" borderId="3" xfId="1" applyNumberFormat="1" applyFont="1" applyBorder="1" applyAlignment="1">
      <alignment horizontal="center" vertical="center"/>
    </xf>
    <xf numFmtId="0" fontId="14" fillId="0" borderId="0" xfId="1" applyFont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1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49" fontId="14" fillId="0" borderId="0" xfId="1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7" fillId="0" borderId="3" xfId="0" applyNumberFormat="1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</cellXfs>
  <cellStyles count="3">
    <cellStyle name="Euro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466724</xdr:colOff>
      <xdr:row>3</xdr:row>
      <xdr:rowOff>91652</xdr:rowOff>
    </xdr:to>
    <xdr:pic>
      <xdr:nvPicPr>
        <xdr:cNvPr id="6" name="Picture 4123" descr="LOG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0"/>
          <a:ext cx="952499" cy="739352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J98"/>
  <sheetViews>
    <sheetView workbookViewId="0">
      <selection activeCell="B12" sqref="B12"/>
    </sheetView>
  </sheetViews>
  <sheetFormatPr baseColWidth="10" defaultRowHeight="15" x14ac:dyDescent="0.25"/>
  <cols>
    <col min="1" max="1" width="8.42578125" bestFit="1" customWidth="1"/>
    <col min="2" max="2" width="11.85546875" style="3" customWidth="1"/>
    <col min="3" max="3" width="6.5703125" hidden="1" customWidth="1"/>
    <col min="4" max="4" width="27" bestFit="1" customWidth="1"/>
    <col min="5" max="5" width="8.85546875" style="33" bestFit="1" customWidth="1"/>
    <col min="6" max="6" width="8.28515625" hidden="1" customWidth="1"/>
    <col min="7" max="7" width="14.140625" customWidth="1"/>
    <col min="8" max="8" width="9" style="27" bestFit="1" customWidth="1"/>
    <col min="9" max="9" width="2.28515625" hidden="1" customWidth="1"/>
    <col min="10" max="10" width="12.28515625" style="19" bestFit="1" customWidth="1"/>
  </cols>
  <sheetData>
    <row r="1" spans="1:10" ht="19.5" x14ac:dyDescent="0.4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15.75" x14ac:dyDescent="0.25">
      <c r="A2" s="49" t="s">
        <v>1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ht="15.75" x14ac:dyDescent="0.25">
      <c r="A3" s="50" t="s">
        <v>2</v>
      </c>
      <c r="B3" s="50"/>
      <c r="C3" s="50"/>
      <c r="D3" s="50"/>
      <c r="E3" s="50"/>
      <c r="F3" s="50"/>
      <c r="G3" s="50"/>
      <c r="H3" s="50"/>
      <c r="I3" s="50"/>
      <c r="J3" s="50"/>
    </row>
    <row r="4" spans="1:10" ht="15.75" x14ac:dyDescent="0.25">
      <c r="A4" s="50" t="s">
        <v>16</v>
      </c>
      <c r="B4" s="50"/>
      <c r="C4" s="50"/>
      <c r="D4" s="50"/>
      <c r="E4" s="50"/>
      <c r="F4" s="50"/>
      <c r="G4" s="50"/>
      <c r="H4" s="50"/>
      <c r="I4" s="50"/>
      <c r="J4" s="50"/>
    </row>
    <row r="5" spans="1:10" x14ac:dyDescent="0.25">
      <c r="A5" s="4"/>
      <c r="B5" s="4"/>
      <c r="C5" s="4"/>
      <c r="D5" s="4"/>
      <c r="E5" s="4"/>
      <c r="F5" s="4"/>
      <c r="G5" s="4"/>
      <c r="H5" s="26"/>
      <c r="I5" s="4"/>
      <c r="J5" s="1"/>
    </row>
    <row r="6" spans="1:10" x14ac:dyDescent="0.25">
      <c r="A6" s="4"/>
      <c r="B6" s="4"/>
      <c r="C6" s="4"/>
      <c r="D6" s="4"/>
      <c r="E6" s="4"/>
      <c r="F6" s="4"/>
      <c r="G6" s="4"/>
      <c r="H6" s="26"/>
      <c r="I6" s="4"/>
      <c r="J6" s="1"/>
    </row>
    <row r="7" spans="1:10" s="20" customFormat="1" ht="18" customHeight="1" x14ac:dyDescent="0.25">
      <c r="A7" s="51" t="s">
        <v>3</v>
      </c>
      <c r="B7" s="51"/>
      <c r="C7" s="51"/>
      <c r="D7" s="51"/>
      <c r="E7" s="51"/>
      <c r="F7" s="51"/>
      <c r="G7" s="51"/>
      <c r="H7" s="51"/>
      <c r="I7" s="51"/>
      <c r="J7" s="51"/>
    </row>
    <row r="8" spans="1:10" s="20" customFormat="1" ht="18" customHeight="1" x14ac:dyDescent="0.25">
      <c r="A8" s="52" t="s">
        <v>11</v>
      </c>
      <c r="B8" s="52"/>
      <c r="C8" s="52"/>
      <c r="D8" s="52"/>
      <c r="E8" s="52"/>
      <c r="F8" s="52"/>
      <c r="G8" s="52"/>
      <c r="H8" s="52"/>
      <c r="I8" s="52"/>
      <c r="J8" s="52"/>
    </row>
    <row r="9" spans="1:10" s="20" customFormat="1" ht="18" customHeight="1" x14ac:dyDescent="0.25">
      <c r="A9" s="47" t="s">
        <v>68</v>
      </c>
      <c r="B9" s="47"/>
      <c r="C9" s="47"/>
      <c r="D9" s="47"/>
      <c r="E9" s="47"/>
      <c r="F9" s="47"/>
      <c r="G9" s="47"/>
      <c r="H9" s="47"/>
      <c r="I9" s="47"/>
      <c r="J9" s="47"/>
    </row>
    <row r="10" spans="1:10" s="20" customFormat="1" ht="18" customHeight="1" x14ac:dyDescent="0.25">
      <c r="A10" s="34"/>
      <c r="B10" s="34"/>
      <c r="C10" s="34"/>
      <c r="D10" s="34"/>
      <c r="E10" s="34"/>
      <c r="F10" s="34"/>
      <c r="G10" s="34"/>
      <c r="H10" s="34"/>
      <c r="I10" s="34"/>
      <c r="J10" s="34"/>
    </row>
    <row r="11" spans="1:10" ht="15" customHeight="1" x14ac:dyDescent="0.25">
      <c r="A11" s="7" t="s">
        <v>4</v>
      </c>
      <c r="B11" s="8" t="s">
        <v>5</v>
      </c>
      <c r="C11" s="9" t="s">
        <v>6</v>
      </c>
      <c r="D11" s="10" t="s">
        <v>12</v>
      </c>
      <c r="E11" s="10" t="s">
        <v>19</v>
      </c>
      <c r="F11" s="11" t="s">
        <v>14</v>
      </c>
      <c r="G11" s="30" t="s">
        <v>20</v>
      </c>
      <c r="H11" s="11" t="s">
        <v>8</v>
      </c>
      <c r="I11" s="11" t="s">
        <v>7</v>
      </c>
      <c r="J11" s="17" t="s">
        <v>13</v>
      </c>
    </row>
    <row r="12" spans="1:10" ht="15" customHeight="1" x14ac:dyDescent="0.25">
      <c r="A12" s="40">
        <v>42842</v>
      </c>
      <c r="B12" s="35">
        <v>11269196</v>
      </c>
      <c r="C12" s="23"/>
      <c r="D12" s="36" t="s">
        <v>39</v>
      </c>
      <c r="E12" s="37">
        <v>592991</v>
      </c>
      <c r="F12" s="6"/>
      <c r="G12" s="38">
        <v>2187.5</v>
      </c>
      <c r="H12" s="39">
        <v>262.5</v>
      </c>
      <c r="I12" s="6"/>
      <c r="J12" s="18">
        <f>G12+H12</f>
        <v>2450</v>
      </c>
    </row>
    <row r="13" spans="1:10" ht="15" customHeight="1" x14ac:dyDescent="0.25">
      <c r="A13" s="40">
        <v>42843</v>
      </c>
      <c r="B13" s="35">
        <v>17104709</v>
      </c>
      <c r="C13" s="23"/>
      <c r="D13" s="36" t="s">
        <v>44</v>
      </c>
      <c r="E13" s="37">
        <v>593007</v>
      </c>
      <c r="F13" s="6"/>
      <c r="G13" s="38">
        <v>2761.2</v>
      </c>
      <c r="H13" s="39">
        <v>0</v>
      </c>
      <c r="I13" s="6"/>
      <c r="J13" s="18">
        <f t="shared" ref="J13:J73" si="0">G13+H13</f>
        <v>2761.2</v>
      </c>
    </row>
    <row r="14" spans="1:10" ht="15" customHeight="1" x14ac:dyDescent="0.25">
      <c r="A14" s="40">
        <v>42843</v>
      </c>
      <c r="B14" s="35">
        <v>17104709</v>
      </c>
      <c r="C14" s="23"/>
      <c r="D14" s="36" t="s">
        <v>44</v>
      </c>
      <c r="E14" s="37">
        <v>593008</v>
      </c>
      <c r="F14" s="6"/>
      <c r="G14" s="38">
        <v>4047</v>
      </c>
      <c r="H14" s="39">
        <v>405</v>
      </c>
      <c r="I14" s="6"/>
      <c r="J14" s="18">
        <f t="shared" si="0"/>
        <v>4452</v>
      </c>
    </row>
    <row r="15" spans="1:10" ht="15" customHeight="1" x14ac:dyDescent="0.25">
      <c r="A15" s="40">
        <v>42849</v>
      </c>
      <c r="B15" s="35">
        <v>17104709</v>
      </c>
      <c r="C15" s="23"/>
      <c r="D15" s="36" t="s">
        <v>44</v>
      </c>
      <c r="E15" s="37">
        <v>593070</v>
      </c>
      <c r="F15" s="6"/>
      <c r="G15" s="38">
        <v>5496</v>
      </c>
      <c r="H15" s="39">
        <v>0</v>
      </c>
      <c r="I15" s="6"/>
      <c r="J15" s="18">
        <f t="shared" si="0"/>
        <v>5496</v>
      </c>
    </row>
    <row r="16" spans="1:10" ht="15" customHeight="1" x14ac:dyDescent="0.25">
      <c r="A16" s="40">
        <v>42829</v>
      </c>
      <c r="B16" s="35">
        <v>20046577</v>
      </c>
      <c r="C16" s="23"/>
      <c r="D16" s="36" t="s">
        <v>29</v>
      </c>
      <c r="E16" s="37">
        <v>592917</v>
      </c>
      <c r="F16" s="6"/>
      <c r="G16" s="38">
        <v>3169.9</v>
      </c>
      <c r="H16" s="39">
        <v>0</v>
      </c>
      <c r="I16" s="6"/>
      <c r="J16" s="18">
        <f t="shared" si="0"/>
        <v>3169.9</v>
      </c>
    </row>
    <row r="17" spans="1:10" ht="15" customHeight="1" x14ac:dyDescent="0.25">
      <c r="A17" s="40">
        <v>42846</v>
      </c>
      <c r="B17" s="35">
        <v>3084978</v>
      </c>
      <c r="C17" s="23"/>
      <c r="D17" s="36" t="s">
        <v>51</v>
      </c>
      <c r="E17" s="37">
        <v>593050</v>
      </c>
      <c r="F17" s="6"/>
      <c r="G17" s="38">
        <v>6493.78</v>
      </c>
      <c r="H17" s="39">
        <v>0</v>
      </c>
      <c r="I17" s="6"/>
      <c r="J17" s="18">
        <f t="shared" si="0"/>
        <v>6493.78</v>
      </c>
    </row>
    <row r="18" spans="1:10" ht="15" customHeight="1" x14ac:dyDescent="0.25">
      <c r="A18" s="40">
        <v>42828</v>
      </c>
      <c r="B18" s="35">
        <v>11787653</v>
      </c>
      <c r="C18" s="23"/>
      <c r="D18" s="36" t="s">
        <v>25</v>
      </c>
      <c r="E18" s="37">
        <v>592898</v>
      </c>
      <c r="F18" s="6"/>
      <c r="G18" s="38">
        <v>2826.61</v>
      </c>
      <c r="H18" s="39">
        <v>0</v>
      </c>
      <c r="I18" s="6"/>
      <c r="J18" s="18">
        <f t="shared" si="0"/>
        <v>2826.61</v>
      </c>
    </row>
    <row r="19" spans="1:10" ht="15" customHeight="1" x14ac:dyDescent="0.25">
      <c r="A19" s="40">
        <v>42842</v>
      </c>
      <c r="B19" s="35">
        <v>11787653</v>
      </c>
      <c r="C19" s="23"/>
      <c r="D19" s="36" t="s">
        <v>25</v>
      </c>
      <c r="E19" s="37">
        <v>593001</v>
      </c>
      <c r="F19" s="6"/>
      <c r="G19" s="38">
        <v>2909.23</v>
      </c>
      <c r="H19" s="39">
        <v>349.1</v>
      </c>
      <c r="I19" s="6"/>
      <c r="J19" s="18">
        <f t="shared" si="0"/>
        <v>3258.33</v>
      </c>
    </row>
    <row r="20" spans="1:10" ht="15" customHeight="1" x14ac:dyDescent="0.25">
      <c r="A20" s="40">
        <v>42845</v>
      </c>
      <c r="B20" s="35">
        <v>11787653</v>
      </c>
      <c r="C20" s="23"/>
      <c r="D20" s="36" t="s">
        <v>25</v>
      </c>
      <c r="E20" s="37">
        <v>593034</v>
      </c>
      <c r="F20" s="6"/>
      <c r="G20" s="38">
        <v>3064.29</v>
      </c>
      <c r="H20" s="39">
        <v>0</v>
      </c>
      <c r="I20" s="6"/>
      <c r="J20" s="18">
        <f t="shared" si="0"/>
        <v>3064.29</v>
      </c>
    </row>
    <row r="21" spans="1:10" ht="15" customHeight="1" x14ac:dyDescent="0.25">
      <c r="A21" s="40">
        <v>42831</v>
      </c>
      <c r="B21" s="35">
        <v>7446644</v>
      </c>
      <c r="C21" s="23"/>
      <c r="D21" s="36" t="s">
        <v>62</v>
      </c>
      <c r="E21" s="37">
        <v>592969</v>
      </c>
      <c r="F21" s="6"/>
      <c r="G21" s="38">
        <v>1179.8599999999999</v>
      </c>
      <c r="H21" s="39">
        <v>34.06</v>
      </c>
      <c r="I21" s="6"/>
      <c r="J21" s="18">
        <f t="shared" si="0"/>
        <v>1213.9199999999998</v>
      </c>
    </row>
    <row r="22" spans="1:10" ht="15" customHeight="1" x14ac:dyDescent="0.25">
      <c r="A22" s="40">
        <v>42843</v>
      </c>
      <c r="B22" s="35">
        <v>9609337</v>
      </c>
      <c r="C22" s="23"/>
      <c r="D22" s="36" t="s">
        <v>46</v>
      </c>
      <c r="E22" s="37">
        <v>593016</v>
      </c>
      <c r="F22" s="6"/>
      <c r="G22" s="38">
        <v>5892.96</v>
      </c>
      <c r="H22" s="39">
        <v>608.37</v>
      </c>
      <c r="I22" s="6"/>
      <c r="J22" s="18">
        <f t="shared" si="0"/>
        <v>6501.33</v>
      </c>
    </row>
    <row r="23" spans="1:10" ht="15" customHeight="1" x14ac:dyDescent="0.25">
      <c r="A23" s="40">
        <v>42843</v>
      </c>
      <c r="B23" s="35">
        <v>9609337</v>
      </c>
      <c r="C23" s="23"/>
      <c r="D23" s="36" t="s">
        <v>46</v>
      </c>
      <c r="E23" s="37">
        <v>593017</v>
      </c>
      <c r="F23" s="6"/>
      <c r="G23" s="38">
        <v>8170</v>
      </c>
      <c r="H23" s="39">
        <v>900</v>
      </c>
      <c r="I23" s="6"/>
      <c r="J23" s="18">
        <f t="shared" si="0"/>
        <v>9070</v>
      </c>
    </row>
    <row r="24" spans="1:10" ht="15" customHeight="1" x14ac:dyDescent="0.25">
      <c r="A24" s="40">
        <v>42845</v>
      </c>
      <c r="B24" s="35">
        <v>9609337</v>
      </c>
      <c r="C24" s="23"/>
      <c r="D24" s="36" t="s">
        <v>46</v>
      </c>
      <c r="E24" s="37">
        <v>593035</v>
      </c>
      <c r="F24" s="6"/>
      <c r="G24" s="38">
        <v>7875.61</v>
      </c>
      <c r="H24" s="39">
        <v>642.85</v>
      </c>
      <c r="I24" s="6"/>
      <c r="J24" s="18">
        <f t="shared" si="0"/>
        <v>8518.4599999999991</v>
      </c>
    </row>
    <row r="25" spans="1:10" ht="15" customHeight="1" x14ac:dyDescent="0.25">
      <c r="A25" s="40">
        <v>42829</v>
      </c>
      <c r="B25" s="35">
        <v>13268000</v>
      </c>
      <c r="C25" s="23"/>
      <c r="D25" s="36" t="s">
        <v>27</v>
      </c>
      <c r="E25" s="37">
        <v>592912</v>
      </c>
      <c r="F25" s="6"/>
      <c r="G25" s="38">
        <v>2229.9299999999998</v>
      </c>
      <c r="H25" s="39">
        <v>0</v>
      </c>
      <c r="I25" s="6"/>
      <c r="J25" s="18">
        <f t="shared" si="0"/>
        <v>2229.9299999999998</v>
      </c>
    </row>
    <row r="26" spans="1:10" ht="15" customHeight="1" x14ac:dyDescent="0.25">
      <c r="A26" s="40">
        <v>42850</v>
      </c>
      <c r="B26" s="35">
        <v>13268000</v>
      </c>
      <c r="C26" s="23"/>
      <c r="D26" s="36" t="s">
        <v>27</v>
      </c>
      <c r="E26" s="37">
        <v>593092</v>
      </c>
      <c r="F26" s="6"/>
      <c r="G26" s="38">
        <v>7899.39</v>
      </c>
      <c r="H26" s="39">
        <v>0</v>
      </c>
      <c r="I26" s="6"/>
      <c r="J26" s="18">
        <f t="shared" si="0"/>
        <v>7899.39</v>
      </c>
    </row>
    <row r="27" spans="1:10" ht="15" customHeight="1" x14ac:dyDescent="0.25">
      <c r="A27" s="40">
        <v>42828</v>
      </c>
      <c r="B27" s="35">
        <v>4727740</v>
      </c>
      <c r="C27" s="23"/>
      <c r="D27" s="36" t="s">
        <v>21</v>
      </c>
      <c r="E27" s="37">
        <v>592889</v>
      </c>
      <c r="F27" s="6"/>
      <c r="G27" s="38">
        <v>11651.8</v>
      </c>
      <c r="H27" s="39">
        <v>1398.22</v>
      </c>
      <c r="I27" s="6"/>
      <c r="J27" s="18">
        <f t="shared" si="0"/>
        <v>13050.019999999999</v>
      </c>
    </row>
    <row r="28" spans="1:10" ht="15" customHeight="1" x14ac:dyDescent="0.25">
      <c r="A28" s="40">
        <v>42846</v>
      </c>
      <c r="B28" s="35">
        <v>14143188</v>
      </c>
      <c r="C28" s="23"/>
      <c r="D28" s="36" t="s">
        <v>61</v>
      </c>
      <c r="E28" s="37">
        <v>593056</v>
      </c>
      <c r="F28" s="6"/>
      <c r="G28" s="38">
        <v>7802.28</v>
      </c>
      <c r="H28" s="39">
        <v>163.93</v>
      </c>
      <c r="I28" s="6"/>
      <c r="J28" s="18">
        <f t="shared" si="0"/>
        <v>7966.21</v>
      </c>
    </row>
    <row r="29" spans="1:10" ht="15" customHeight="1" x14ac:dyDescent="0.25">
      <c r="A29" s="40">
        <v>42828</v>
      </c>
      <c r="B29" s="35">
        <v>11267811</v>
      </c>
      <c r="C29" s="23"/>
      <c r="D29" s="36" t="s">
        <v>23</v>
      </c>
      <c r="E29" s="37">
        <v>592892</v>
      </c>
      <c r="F29" s="6"/>
      <c r="G29" s="38">
        <v>6231.62</v>
      </c>
      <c r="H29" s="39">
        <v>538.49</v>
      </c>
      <c r="I29" s="6"/>
      <c r="J29" s="18">
        <f t="shared" si="0"/>
        <v>6770.11</v>
      </c>
    </row>
    <row r="30" spans="1:10" ht="15" customHeight="1" x14ac:dyDescent="0.25">
      <c r="A30" s="40">
        <v>42828</v>
      </c>
      <c r="B30" s="35">
        <v>11267811</v>
      </c>
      <c r="C30" s="23"/>
      <c r="D30" s="36" t="s">
        <v>23</v>
      </c>
      <c r="E30" s="37">
        <v>592893</v>
      </c>
      <c r="F30" s="6"/>
      <c r="G30" s="38">
        <v>2574.9899999999998</v>
      </c>
      <c r="H30" s="39">
        <v>250.72</v>
      </c>
      <c r="I30" s="6"/>
      <c r="J30" s="18">
        <f t="shared" si="0"/>
        <v>2825.7099999999996</v>
      </c>
    </row>
    <row r="31" spans="1:10" ht="15" customHeight="1" x14ac:dyDescent="0.25">
      <c r="A31" s="40">
        <v>42828</v>
      </c>
      <c r="B31" s="35">
        <v>5257727</v>
      </c>
      <c r="C31" s="23"/>
      <c r="D31" s="36" t="s">
        <v>22</v>
      </c>
      <c r="E31" s="37">
        <v>592890</v>
      </c>
      <c r="F31" s="6"/>
      <c r="G31" s="38">
        <v>3170.97</v>
      </c>
      <c r="H31" s="39">
        <v>0</v>
      </c>
      <c r="I31" s="6"/>
      <c r="J31" s="18">
        <f t="shared" si="0"/>
        <v>3170.97</v>
      </c>
    </row>
    <row r="32" spans="1:10" ht="15" customHeight="1" x14ac:dyDescent="0.25">
      <c r="A32" s="40">
        <v>42828</v>
      </c>
      <c r="B32" s="35">
        <v>5257727</v>
      </c>
      <c r="C32" s="23"/>
      <c r="D32" s="36" t="s">
        <v>22</v>
      </c>
      <c r="E32" s="37">
        <v>592891</v>
      </c>
      <c r="F32" s="6"/>
      <c r="G32" s="36">
        <v>826.61</v>
      </c>
      <c r="H32" s="39">
        <v>0</v>
      </c>
      <c r="I32" s="6"/>
      <c r="J32" s="18">
        <f t="shared" si="0"/>
        <v>826.61</v>
      </c>
    </row>
    <row r="33" spans="1:10" ht="15" customHeight="1" x14ac:dyDescent="0.25">
      <c r="A33" s="40">
        <v>42843</v>
      </c>
      <c r="B33" s="35">
        <v>21140944</v>
      </c>
      <c r="C33" s="23"/>
      <c r="D33" s="36" t="s">
        <v>42</v>
      </c>
      <c r="E33" s="37">
        <v>593005</v>
      </c>
      <c r="F33" s="6"/>
      <c r="G33" s="38">
        <v>2669.64</v>
      </c>
      <c r="H33" s="39">
        <v>320.36</v>
      </c>
      <c r="I33" s="6"/>
      <c r="J33" s="18">
        <f t="shared" si="0"/>
        <v>2990</v>
      </c>
    </row>
    <row r="34" spans="1:10" ht="15" customHeight="1" x14ac:dyDescent="0.25">
      <c r="A34" s="40">
        <v>42849</v>
      </c>
      <c r="B34" s="35">
        <v>3784066</v>
      </c>
      <c r="C34" s="23"/>
      <c r="D34" s="36" t="s">
        <v>54</v>
      </c>
      <c r="E34" s="37">
        <v>593064</v>
      </c>
      <c r="F34" s="6"/>
      <c r="G34" s="38">
        <v>3922.59</v>
      </c>
      <c r="H34" s="39">
        <v>163.93</v>
      </c>
      <c r="I34" s="6"/>
      <c r="J34" s="18">
        <f t="shared" si="0"/>
        <v>4086.52</v>
      </c>
    </row>
    <row r="35" spans="1:10" ht="15" customHeight="1" x14ac:dyDescent="0.25">
      <c r="A35" s="40">
        <v>42849</v>
      </c>
      <c r="B35" s="35">
        <v>3784066</v>
      </c>
      <c r="C35" s="23"/>
      <c r="D35" s="36" t="s">
        <v>54</v>
      </c>
      <c r="E35" s="37">
        <v>593065</v>
      </c>
      <c r="F35" s="6"/>
      <c r="G35" s="38">
        <v>2530.6</v>
      </c>
      <c r="H35" s="39">
        <v>0</v>
      </c>
      <c r="I35" s="6"/>
      <c r="J35" s="18">
        <f t="shared" si="0"/>
        <v>2530.6</v>
      </c>
    </row>
    <row r="36" spans="1:10" ht="15" customHeight="1" x14ac:dyDescent="0.25">
      <c r="A36" s="40">
        <v>42828</v>
      </c>
      <c r="B36" s="35">
        <v>12704927</v>
      </c>
      <c r="C36" s="23"/>
      <c r="D36" s="36" t="s">
        <v>26</v>
      </c>
      <c r="E36" s="37">
        <v>592902</v>
      </c>
      <c r="F36" s="6"/>
      <c r="G36" s="38">
        <v>1700</v>
      </c>
      <c r="H36" s="39">
        <v>0</v>
      </c>
      <c r="I36" s="6"/>
      <c r="J36" s="18">
        <f t="shared" si="0"/>
        <v>1700</v>
      </c>
    </row>
    <row r="37" spans="1:10" ht="15" customHeight="1" x14ac:dyDescent="0.25">
      <c r="A37" s="40">
        <v>42832</v>
      </c>
      <c r="B37" s="35">
        <v>9552709</v>
      </c>
      <c r="C37" s="23"/>
      <c r="D37" s="36" t="s">
        <v>37</v>
      </c>
      <c r="E37" s="37">
        <v>592980</v>
      </c>
      <c r="F37" s="6"/>
      <c r="G37" s="38">
        <v>3003.16</v>
      </c>
      <c r="H37" s="39">
        <v>0</v>
      </c>
      <c r="I37" s="6"/>
      <c r="J37" s="18">
        <f t="shared" si="0"/>
        <v>3003.16</v>
      </c>
    </row>
    <row r="38" spans="1:10" ht="15" customHeight="1" x14ac:dyDescent="0.25">
      <c r="A38" s="40">
        <v>42832</v>
      </c>
      <c r="B38" s="35">
        <v>9552709</v>
      </c>
      <c r="C38" s="23"/>
      <c r="D38" s="36" t="s">
        <v>37</v>
      </c>
      <c r="E38" s="37">
        <v>592981</v>
      </c>
      <c r="F38" s="6"/>
      <c r="G38" s="38">
        <v>6571.39</v>
      </c>
      <c r="H38" s="39">
        <v>497.14</v>
      </c>
      <c r="I38" s="6"/>
      <c r="J38" s="18">
        <f t="shared" si="0"/>
        <v>7068.5300000000007</v>
      </c>
    </row>
    <row r="39" spans="1:10" ht="15" customHeight="1" x14ac:dyDescent="0.25">
      <c r="A39" s="40">
        <v>42846</v>
      </c>
      <c r="B39" s="35">
        <v>9552709</v>
      </c>
      <c r="C39" s="23"/>
      <c r="D39" s="36" t="s">
        <v>37</v>
      </c>
      <c r="E39" s="37">
        <v>593053</v>
      </c>
      <c r="F39" s="6"/>
      <c r="G39" s="38">
        <v>4724.5600000000004</v>
      </c>
      <c r="H39" s="39">
        <v>161.15</v>
      </c>
      <c r="I39" s="6"/>
      <c r="J39" s="18">
        <f t="shared" si="0"/>
        <v>4885.71</v>
      </c>
    </row>
    <row r="40" spans="1:10" ht="15" customHeight="1" x14ac:dyDescent="0.25">
      <c r="A40" s="40">
        <v>42846</v>
      </c>
      <c r="B40" s="35">
        <v>9552709</v>
      </c>
      <c r="C40" s="23"/>
      <c r="D40" s="36" t="s">
        <v>37</v>
      </c>
      <c r="E40" s="37">
        <v>593054</v>
      </c>
      <c r="F40" s="6"/>
      <c r="G40" s="38">
        <v>4436.05</v>
      </c>
      <c r="H40" s="39">
        <v>0</v>
      </c>
      <c r="I40" s="6"/>
      <c r="J40" s="18">
        <f t="shared" si="0"/>
        <v>4436.05</v>
      </c>
    </row>
    <row r="41" spans="1:10" ht="15" customHeight="1" x14ac:dyDescent="0.25">
      <c r="A41" s="40">
        <v>42846</v>
      </c>
      <c r="B41" s="35">
        <v>9552709</v>
      </c>
      <c r="C41" s="23"/>
      <c r="D41" s="36" t="s">
        <v>37</v>
      </c>
      <c r="E41" s="37">
        <v>593055</v>
      </c>
      <c r="F41" s="6"/>
      <c r="G41" s="38">
        <v>3410.7</v>
      </c>
      <c r="H41" s="39">
        <v>409.29</v>
      </c>
      <c r="I41" s="6"/>
      <c r="J41" s="18">
        <f t="shared" si="0"/>
        <v>3819.99</v>
      </c>
    </row>
    <row r="42" spans="1:10" ht="15" customHeight="1" x14ac:dyDescent="0.25">
      <c r="A42" s="40">
        <v>42830</v>
      </c>
      <c r="B42" s="35">
        <v>10845717</v>
      </c>
      <c r="C42" s="5"/>
      <c r="D42" s="36" t="s">
        <v>63</v>
      </c>
      <c r="E42" s="37">
        <v>592951</v>
      </c>
      <c r="F42" s="39"/>
      <c r="G42" s="38">
        <v>3346.72</v>
      </c>
      <c r="H42" s="39">
        <v>0</v>
      </c>
      <c r="I42" s="6"/>
      <c r="J42" s="18">
        <f t="shared" si="0"/>
        <v>3346.72</v>
      </c>
    </row>
    <row r="43" spans="1:10" ht="15" customHeight="1" x14ac:dyDescent="0.25">
      <c r="A43" s="40">
        <v>42843</v>
      </c>
      <c r="B43" s="35">
        <v>7309375</v>
      </c>
      <c r="C43" s="5"/>
      <c r="D43" s="36" t="s">
        <v>48</v>
      </c>
      <c r="E43" s="37">
        <v>593024</v>
      </c>
      <c r="F43" s="39"/>
      <c r="G43" s="38">
        <v>7739.43</v>
      </c>
      <c r="H43" s="39">
        <v>0</v>
      </c>
      <c r="I43" s="6"/>
      <c r="J43" s="18">
        <f t="shared" si="0"/>
        <v>7739.43</v>
      </c>
    </row>
    <row r="44" spans="1:10" ht="15" customHeight="1" x14ac:dyDescent="0.25">
      <c r="A44" s="40">
        <v>42843</v>
      </c>
      <c r="B44" s="35">
        <v>7309375</v>
      </c>
      <c r="C44" s="5"/>
      <c r="D44" s="36" t="s">
        <v>48</v>
      </c>
      <c r="E44" s="37">
        <v>593025</v>
      </c>
      <c r="F44" s="39"/>
      <c r="G44" s="36">
        <v>482.14</v>
      </c>
      <c r="H44" s="39">
        <v>57.86</v>
      </c>
      <c r="I44" s="6"/>
      <c r="J44" s="18">
        <f t="shared" si="0"/>
        <v>540</v>
      </c>
    </row>
    <row r="45" spans="1:10" ht="15" customHeight="1" x14ac:dyDescent="0.25">
      <c r="A45" s="40">
        <v>42829</v>
      </c>
      <c r="B45" s="35">
        <v>7415285</v>
      </c>
      <c r="C45" s="5"/>
      <c r="D45" s="36" t="s">
        <v>28</v>
      </c>
      <c r="E45" s="37">
        <v>592915</v>
      </c>
      <c r="F45" s="39"/>
      <c r="G45" s="38">
        <v>1777.96</v>
      </c>
      <c r="H45" s="39">
        <v>0</v>
      </c>
      <c r="I45" s="6"/>
      <c r="J45" s="18">
        <f t="shared" si="0"/>
        <v>1777.96</v>
      </c>
    </row>
    <row r="46" spans="1:10" ht="15" customHeight="1" x14ac:dyDescent="0.25">
      <c r="A46" s="40">
        <v>42853</v>
      </c>
      <c r="B46" s="35">
        <v>5765952</v>
      </c>
      <c r="C46" s="5"/>
      <c r="D46" s="36" t="s">
        <v>58</v>
      </c>
      <c r="E46" s="37">
        <v>593137</v>
      </c>
      <c r="F46" s="39"/>
      <c r="G46" s="38">
        <v>2906.52</v>
      </c>
      <c r="H46" s="39">
        <v>0</v>
      </c>
      <c r="I46" s="6"/>
      <c r="J46" s="18">
        <f t="shared" si="0"/>
        <v>2906.52</v>
      </c>
    </row>
    <row r="47" spans="1:10" ht="15" customHeight="1" x14ac:dyDescent="0.25">
      <c r="A47" s="40">
        <v>42851</v>
      </c>
      <c r="B47" s="35">
        <v>12018571</v>
      </c>
      <c r="C47" s="5"/>
      <c r="D47" s="36" t="s">
        <v>56</v>
      </c>
      <c r="E47" s="37">
        <v>593104</v>
      </c>
      <c r="F47" s="39"/>
      <c r="G47" s="38">
        <v>2105.61</v>
      </c>
      <c r="H47" s="39">
        <v>0</v>
      </c>
      <c r="I47" s="6"/>
      <c r="J47" s="18">
        <f t="shared" si="0"/>
        <v>2105.61</v>
      </c>
    </row>
    <row r="48" spans="1:10" ht="15" customHeight="1" x14ac:dyDescent="0.25">
      <c r="A48" s="40">
        <v>42828</v>
      </c>
      <c r="B48" s="35">
        <v>9612692</v>
      </c>
      <c r="C48" s="5"/>
      <c r="D48" s="36" t="s">
        <v>60</v>
      </c>
      <c r="E48" s="37">
        <v>592899</v>
      </c>
      <c r="F48" s="39"/>
      <c r="G48" s="38">
        <v>3692.27</v>
      </c>
      <c r="H48" s="39">
        <v>0</v>
      </c>
      <c r="I48" s="6"/>
      <c r="J48" s="18">
        <f t="shared" si="0"/>
        <v>3692.27</v>
      </c>
    </row>
    <row r="49" spans="1:10" ht="15" customHeight="1" x14ac:dyDescent="0.25">
      <c r="A49" s="40">
        <v>42830</v>
      </c>
      <c r="B49" s="35">
        <v>9617493</v>
      </c>
      <c r="C49" s="5"/>
      <c r="D49" s="36" t="s">
        <v>31</v>
      </c>
      <c r="E49" s="37">
        <v>592930</v>
      </c>
      <c r="F49" s="39"/>
      <c r="G49" s="38">
        <v>1687.5</v>
      </c>
      <c r="H49" s="39">
        <v>202.5</v>
      </c>
      <c r="I49" s="6"/>
      <c r="J49" s="18">
        <f t="shared" si="0"/>
        <v>1890</v>
      </c>
    </row>
    <row r="50" spans="1:10" ht="15" customHeight="1" x14ac:dyDescent="0.25">
      <c r="A50" s="40">
        <v>42843</v>
      </c>
      <c r="B50" s="35">
        <v>14877620</v>
      </c>
      <c r="C50" s="5"/>
      <c r="D50" s="36" t="s">
        <v>47</v>
      </c>
      <c r="E50" s="37">
        <v>593018</v>
      </c>
      <c r="F50" s="39"/>
      <c r="G50" s="38">
        <v>2745.61</v>
      </c>
      <c r="H50" s="39">
        <v>0</v>
      </c>
      <c r="I50" s="6"/>
      <c r="J50" s="18">
        <f t="shared" si="0"/>
        <v>2745.61</v>
      </c>
    </row>
    <row r="51" spans="1:10" ht="15" customHeight="1" x14ac:dyDescent="0.25">
      <c r="A51" s="40">
        <v>42843</v>
      </c>
      <c r="B51" s="35">
        <v>3314884</v>
      </c>
      <c r="C51" s="5"/>
      <c r="D51" s="36" t="s">
        <v>45</v>
      </c>
      <c r="E51" s="37">
        <v>593009</v>
      </c>
      <c r="F51" s="39"/>
      <c r="G51" s="38">
        <v>4632.1400000000003</v>
      </c>
      <c r="H51" s="39">
        <v>405</v>
      </c>
      <c r="I51" s="6"/>
      <c r="J51" s="18">
        <f t="shared" si="0"/>
        <v>5037.1400000000003</v>
      </c>
    </row>
    <row r="52" spans="1:10" ht="15" customHeight="1" x14ac:dyDescent="0.25">
      <c r="A52" s="40">
        <v>42843</v>
      </c>
      <c r="B52" s="35">
        <v>3314884</v>
      </c>
      <c r="C52" s="5"/>
      <c r="D52" s="36" t="s">
        <v>45</v>
      </c>
      <c r="E52" s="37">
        <v>593010</v>
      </c>
      <c r="F52" s="39"/>
      <c r="G52" s="38">
        <v>2108.7800000000002</v>
      </c>
      <c r="H52" s="39">
        <v>0</v>
      </c>
      <c r="I52" s="6"/>
      <c r="J52" s="18">
        <f t="shared" si="0"/>
        <v>2108.7800000000002</v>
      </c>
    </row>
    <row r="53" spans="1:10" ht="15" customHeight="1" x14ac:dyDescent="0.25">
      <c r="A53" s="40">
        <v>42831</v>
      </c>
      <c r="B53" s="35">
        <v>6573855</v>
      </c>
      <c r="C53" s="5"/>
      <c r="D53" s="36" t="s">
        <v>33</v>
      </c>
      <c r="E53" s="37">
        <v>592958</v>
      </c>
      <c r="F53" s="39"/>
      <c r="G53" s="38">
        <v>1738.14</v>
      </c>
      <c r="H53" s="39">
        <v>0</v>
      </c>
      <c r="I53" s="6"/>
      <c r="J53" s="18">
        <f t="shared" si="0"/>
        <v>1738.14</v>
      </c>
    </row>
    <row r="54" spans="1:10" ht="15" customHeight="1" x14ac:dyDescent="0.25">
      <c r="A54" s="40">
        <v>42832</v>
      </c>
      <c r="B54" s="35">
        <v>7387544</v>
      </c>
      <c r="C54" s="5"/>
      <c r="D54" s="36" t="s">
        <v>35</v>
      </c>
      <c r="E54" s="37">
        <v>592975</v>
      </c>
      <c r="F54" s="39"/>
      <c r="G54" s="38">
        <v>3292.71</v>
      </c>
      <c r="H54" s="39">
        <v>0</v>
      </c>
      <c r="I54" s="6"/>
      <c r="J54" s="18">
        <f t="shared" si="0"/>
        <v>3292.71</v>
      </c>
    </row>
    <row r="55" spans="1:10" ht="15" customHeight="1" x14ac:dyDescent="0.25">
      <c r="A55" s="40">
        <v>42830</v>
      </c>
      <c r="B55" s="35">
        <v>10846940</v>
      </c>
      <c r="C55" s="5"/>
      <c r="D55" s="36" t="s">
        <v>32</v>
      </c>
      <c r="E55" s="37">
        <v>592932</v>
      </c>
      <c r="F55" s="39"/>
      <c r="G55" s="38">
        <v>4198.3</v>
      </c>
      <c r="H55" s="39">
        <v>0</v>
      </c>
      <c r="I55" s="6"/>
      <c r="J55" s="18">
        <f t="shared" si="0"/>
        <v>4198.3</v>
      </c>
    </row>
    <row r="56" spans="1:10" ht="15" customHeight="1" x14ac:dyDescent="0.25">
      <c r="A56" s="40">
        <v>42828</v>
      </c>
      <c r="B56" s="35">
        <v>15599929</v>
      </c>
      <c r="C56" s="5"/>
      <c r="D56" s="36" t="s">
        <v>24</v>
      </c>
      <c r="E56" s="37">
        <v>592894</v>
      </c>
      <c r="F56" s="39"/>
      <c r="G56" s="38">
        <v>2218.73</v>
      </c>
      <c r="H56" s="39">
        <v>0</v>
      </c>
      <c r="I56" s="6"/>
      <c r="J56" s="18">
        <f t="shared" si="0"/>
        <v>2218.73</v>
      </c>
    </row>
    <row r="57" spans="1:10" ht="15" customHeight="1" x14ac:dyDescent="0.25">
      <c r="A57" s="40">
        <v>42845</v>
      </c>
      <c r="B57" s="35">
        <v>17033290</v>
      </c>
      <c r="C57" s="5"/>
      <c r="D57" s="36" t="s">
        <v>50</v>
      </c>
      <c r="E57" s="37">
        <v>593033</v>
      </c>
      <c r="F57" s="39"/>
      <c r="G57" s="38">
        <v>5055</v>
      </c>
      <c r="H57" s="39">
        <v>0</v>
      </c>
      <c r="I57" s="6"/>
      <c r="J57" s="18">
        <f t="shared" si="0"/>
        <v>5055</v>
      </c>
    </row>
    <row r="58" spans="1:10" ht="15" customHeight="1" x14ac:dyDescent="0.25">
      <c r="A58" s="40">
        <v>42849</v>
      </c>
      <c r="B58" s="35">
        <v>18054647</v>
      </c>
      <c r="C58" s="5"/>
      <c r="D58" s="36" t="s">
        <v>55</v>
      </c>
      <c r="E58" s="37">
        <v>593067</v>
      </c>
      <c r="F58" s="39"/>
      <c r="G58" s="38">
        <v>4350.6499999999996</v>
      </c>
      <c r="H58" s="39">
        <v>0</v>
      </c>
      <c r="I58" s="6"/>
      <c r="J58" s="18">
        <f t="shared" si="0"/>
        <v>4350.6499999999996</v>
      </c>
    </row>
    <row r="59" spans="1:10" ht="15" customHeight="1" x14ac:dyDescent="0.25">
      <c r="A59" s="40">
        <v>42849</v>
      </c>
      <c r="B59" s="35">
        <v>18054647</v>
      </c>
      <c r="C59" s="5"/>
      <c r="D59" s="36" t="s">
        <v>55</v>
      </c>
      <c r="E59" s="37">
        <v>593068</v>
      </c>
      <c r="F59" s="39"/>
      <c r="G59" s="38">
        <v>4756.5200000000004</v>
      </c>
      <c r="H59" s="39">
        <v>0</v>
      </c>
      <c r="I59" s="6"/>
      <c r="J59" s="18">
        <f t="shared" si="0"/>
        <v>4756.5200000000004</v>
      </c>
    </row>
    <row r="60" spans="1:10" ht="15" customHeight="1" x14ac:dyDescent="0.25">
      <c r="A60" s="40">
        <v>42831</v>
      </c>
      <c r="B60" s="35">
        <v>9613403</v>
      </c>
      <c r="C60" s="5"/>
      <c r="D60" s="36" t="s">
        <v>70</v>
      </c>
      <c r="E60" s="37">
        <v>592960</v>
      </c>
      <c r="F60" s="39"/>
      <c r="G60" s="38">
        <v>3327.9</v>
      </c>
      <c r="H60" s="39">
        <v>0</v>
      </c>
      <c r="I60" s="6"/>
      <c r="J60" s="18">
        <f t="shared" si="0"/>
        <v>3327.9</v>
      </c>
    </row>
    <row r="61" spans="1:10" ht="15" customHeight="1" x14ac:dyDescent="0.25">
      <c r="A61" s="40">
        <v>42850</v>
      </c>
      <c r="B61" s="35">
        <v>14335445</v>
      </c>
      <c r="C61" s="5"/>
      <c r="D61" s="36" t="s">
        <v>64</v>
      </c>
      <c r="E61" s="37">
        <v>593096</v>
      </c>
      <c r="F61" s="39"/>
      <c r="G61" s="38">
        <v>2997.6</v>
      </c>
      <c r="H61" s="39">
        <v>0</v>
      </c>
      <c r="I61" s="6"/>
      <c r="J61" s="18">
        <f t="shared" si="0"/>
        <v>2997.6</v>
      </c>
    </row>
    <row r="62" spans="1:10" ht="15" customHeight="1" x14ac:dyDescent="0.25">
      <c r="A62" s="40">
        <v>42850</v>
      </c>
      <c r="B62" s="35">
        <v>14335445</v>
      </c>
      <c r="C62" s="5"/>
      <c r="D62" s="36" t="s">
        <v>64</v>
      </c>
      <c r="E62" s="37">
        <v>593097</v>
      </c>
      <c r="F62" s="39"/>
      <c r="G62" s="38">
        <v>5055</v>
      </c>
      <c r="H62" s="39">
        <v>0</v>
      </c>
      <c r="I62" s="6"/>
      <c r="J62" s="18">
        <f t="shared" si="0"/>
        <v>5055</v>
      </c>
    </row>
    <row r="63" spans="1:10" ht="15" customHeight="1" x14ac:dyDescent="0.25">
      <c r="A63" s="40">
        <v>42831</v>
      </c>
      <c r="B63" s="35">
        <v>14031497</v>
      </c>
      <c r="C63" s="5"/>
      <c r="D63" s="36" t="s">
        <v>34</v>
      </c>
      <c r="E63" s="37">
        <v>592965</v>
      </c>
      <c r="F63" s="39"/>
      <c r="G63" s="38">
        <v>1698.72</v>
      </c>
      <c r="H63" s="39">
        <v>0</v>
      </c>
      <c r="I63" s="6"/>
      <c r="J63" s="18">
        <f t="shared" si="0"/>
        <v>1698.72</v>
      </c>
    </row>
    <row r="64" spans="1:10" ht="15" customHeight="1" x14ac:dyDescent="0.25">
      <c r="A64" s="40">
        <v>42843</v>
      </c>
      <c r="B64" s="35">
        <v>14031497</v>
      </c>
      <c r="C64" s="5"/>
      <c r="D64" s="36" t="s">
        <v>34</v>
      </c>
      <c r="E64" s="37">
        <v>593014</v>
      </c>
      <c r="F64" s="39"/>
      <c r="G64" s="38">
        <v>3820.93</v>
      </c>
      <c r="H64" s="39">
        <v>0</v>
      </c>
      <c r="I64" s="6"/>
      <c r="J64" s="18">
        <f t="shared" si="0"/>
        <v>3820.93</v>
      </c>
    </row>
    <row r="65" spans="1:10" ht="15" customHeight="1" x14ac:dyDescent="0.25">
      <c r="A65" s="40">
        <v>42843</v>
      </c>
      <c r="B65" s="35">
        <v>14031497</v>
      </c>
      <c r="C65" s="5"/>
      <c r="D65" s="36" t="s">
        <v>34</v>
      </c>
      <c r="E65" s="37">
        <v>593015</v>
      </c>
      <c r="F65" s="39"/>
      <c r="G65" s="38">
        <v>5725</v>
      </c>
      <c r="H65" s="39">
        <v>0</v>
      </c>
      <c r="I65" s="6"/>
      <c r="J65" s="18">
        <f t="shared" si="0"/>
        <v>5725</v>
      </c>
    </row>
    <row r="66" spans="1:10" ht="15" customHeight="1" x14ac:dyDescent="0.25">
      <c r="A66" s="40">
        <v>42845</v>
      </c>
      <c r="B66" s="35">
        <v>7425063</v>
      </c>
      <c r="C66" s="5"/>
      <c r="D66" s="36" t="s">
        <v>49</v>
      </c>
      <c r="E66" s="37">
        <v>593032</v>
      </c>
      <c r="F66" s="39"/>
      <c r="G66" s="38">
        <v>1438.78</v>
      </c>
      <c r="H66" s="39">
        <v>0</v>
      </c>
      <c r="I66" s="6"/>
      <c r="J66" s="18">
        <f t="shared" si="0"/>
        <v>1438.78</v>
      </c>
    </row>
    <row r="67" spans="1:10" ht="15" customHeight="1" x14ac:dyDescent="0.25">
      <c r="A67" s="40">
        <v>42832</v>
      </c>
      <c r="B67" s="35">
        <v>13785997</v>
      </c>
      <c r="C67" s="5"/>
      <c r="D67" s="36" t="s">
        <v>38</v>
      </c>
      <c r="E67" s="37">
        <v>592983</v>
      </c>
      <c r="F67" s="39"/>
      <c r="G67" s="38">
        <v>3771.42</v>
      </c>
      <c r="H67" s="39">
        <v>0</v>
      </c>
      <c r="I67" s="6"/>
      <c r="J67" s="18">
        <f t="shared" si="0"/>
        <v>3771.42</v>
      </c>
    </row>
    <row r="68" spans="1:10" ht="15" customHeight="1" x14ac:dyDescent="0.25">
      <c r="A68" s="40">
        <v>42851</v>
      </c>
      <c r="B68" s="35">
        <v>14293690</v>
      </c>
      <c r="C68" s="5"/>
      <c r="D68" s="36" t="s">
        <v>69</v>
      </c>
      <c r="E68" s="37">
        <v>593105</v>
      </c>
      <c r="F68" s="39"/>
      <c r="G68" s="38">
        <v>5173.22</v>
      </c>
      <c r="H68" s="39">
        <v>0</v>
      </c>
      <c r="I68" s="6"/>
      <c r="J68" s="18">
        <f t="shared" si="0"/>
        <v>5173.22</v>
      </c>
    </row>
    <row r="69" spans="1:10" ht="15" customHeight="1" x14ac:dyDescent="0.25">
      <c r="A69" s="40">
        <v>42851</v>
      </c>
      <c r="B69" s="35">
        <v>14293690</v>
      </c>
      <c r="C69" s="5"/>
      <c r="D69" s="36" t="s">
        <v>69</v>
      </c>
      <c r="E69" s="37">
        <v>593106</v>
      </c>
      <c r="F69" s="39"/>
      <c r="G69" s="38">
        <v>4233.3100000000004</v>
      </c>
      <c r="H69" s="39">
        <v>408.8</v>
      </c>
      <c r="I69" s="6"/>
      <c r="J69" s="18">
        <f t="shared" si="0"/>
        <v>4642.1100000000006</v>
      </c>
    </row>
    <row r="70" spans="1:10" ht="15" customHeight="1" x14ac:dyDescent="0.25">
      <c r="A70" s="40">
        <v>42830</v>
      </c>
      <c r="B70" s="35">
        <v>17859921</v>
      </c>
      <c r="C70" s="5"/>
      <c r="D70" s="36" t="s">
        <v>65</v>
      </c>
      <c r="E70" s="37">
        <v>592943</v>
      </c>
      <c r="F70" s="39"/>
      <c r="G70" s="38">
        <v>4987.0600000000004</v>
      </c>
      <c r="H70" s="39">
        <v>0</v>
      </c>
      <c r="I70" s="6"/>
      <c r="J70" s="18">
        <f t="shared" si="0"/>
        <v>4987.0600000000004</v>
      </c>
    </row>
    <row r="71" spans="1:10" ht="15" customHeight="1" x14ac:dyDescent="0.25">
      <c r="A71" s="40">
        <v>42830</v>
      </c>
      <c r="B71" s="35">
        <v>17859921</v>
      </c>
      <c r="C71" s="5"/>
      <c r="D71" s="36" t="s">
        <v>65</v>
      </c>
      <c r="E71" s="37">
        <v>592944</v>
      </c>
      <c r="F71" s="39"/>
      <c r="G71" s="38">
        <v>2454.08</v>
      </c>
      <c r="H71" s="39">
        <v>0</v>
      </c>
      <c r="I71" s="6"/>
      <c r="J71" s="18">
        <f t="shared" si="0"/>
        <v>2454.08</v>
      </c>
    </row>
    <row r="72" spans="1:10" ht="15" customHeight="1" x14ac:dyDescent="0.25">
      <c r="A72" s="40">
        <v>42831</v>
      </c>
      <c r="B72" s="35">
        <v>17859921</v>
      </c>
      <c r="C72" s="5"/>
      <c r="D72" s="36" t="s">
        <v>65</v>
      </c>
      <c r="E72" s="37">
        <v>592962</v>
      </c>
      <c r="F72" s="39"/>
      <c r="G72" s="38">
        <v>1257.1400000000001</v>
      </c>
      <c r="H72" s="39">
        <v>0</v>
      </c>
      <c r="I72" s="6"/>
      <c r="J72" s="18">
        <f t="shared" si="0"/>
        <v>1257.1400000000001</v>
      </c>
    </row>
    <row r="73" spans="1:10" ht="15" customHeight="1" x14ac:dyDescent="0.25">
      <c r="A73" s="40">
        <v>42832</v>
      </c>
      <c r="B73" s="35">
        <v>13265946</v>
      </c>
      <c r="C73" s="5"/>
      <c r="D73" s="36" t="s">
        <v>36</v>
      </c>
      <c r="E73" s="37">
        <v>592979</v>
      </c>
      <c r="F73" s="39"/>
      <c r="G73" s="38">
        <v>3444.22</v>
      </c>
      <c r="H73" s="39">
        <v>0</v>
      </c>
      <c r="I73" s="6"/>
      <c r="J73" s="18">
        <f t="shared" si="0"/>
        <v>3444.22</v>
      </c>
    </row>
    <row r="74" spans="1:10" ht="15" customHeight="1" x14ac:dyDescent="0.25">
      <c r="A74" s="40">
        <v>42852</v>
      </c>
      <c r="B74" s="35">
        <v>17727473</v>
      </c>
      <c r="C74" s="5"/>
      <c r="D74" s="36" t="s">
        <v>57</v>
      </c>
      <c r="E74" s="37">
        <v>593121</v>
      </c>
      <c r="F74" s="39"/>
      <c r="G74" s="38">
        <v>6911.8</v>
      </c>
      <c r="H74" s="39">
        <v>0</v>
      </c>
      <c r="I74" s="6"/>
      <c r="J74" s="18">
        <f t="shared" ref="J74:J79" si="1">G74+H74</f>
        <v>6911.8</v>
      </c>
    </row>
    <row r="75" spans="1:10" ht="15" customHeight="1" x14ac:dyDescent="0.25">
      <c r="A75" s="40">
        <v>42829</v>
      </c>
      <c r="B75" s="35">
        <v>11633896</v>
      </c>
      <c r="C75" s="5"/>
      <c r="D75" s="36" t="s">
        <v>30</v>
      </c>
      <c r="E75" s="37">
        <v>592928</v>
      </c>
      <c r="F75" s="39"/>
      <c r="G75" s="38">
        <v>2621.83</v>
      </c>
      <c r="H75" s="39">
        <v>0</v>
      </c>
      <c r="I75" s="41">
        <v>0</v>
      </c>
      <c r="J75" s="18">
        <f t="shared" si="1"/>
        <v>2621.83</v>
      </c>
    </row>
    <row r="76" spans="1:10" ht="15" customHeight="1" x14ac:dyDescent="0.25">
      <c r="A76" s="40">
        <v>42846</v>
      </c>
      <c r="B76" s="35">
        <v>5261139</v>
      </c>
      <c r="C76" s="5"/>
      <c r="D76" s="36" t="s">
        <v>52</v>
      </c>
      <c r="E76" s="37">
        <v>593051</v>
      </c>
      <c r="F76" s="39"/>
      <c r="G76" s="38">
        <v>4130.3599999999997</v>
      </c>
      <c r="H76" s="39">
        <v>262.5</v>
      </c>
      <c r="I76" s="42"/>
      <c r="J76" s="18">
        <f t="shared" si="1"/>
        <v>4392.8599999999997</v>
      </c>
    </row>
    <row r="77" spans="1:10" ht="15" customHeight="1" x14ac:dyDescent="0.25">
      <c r="A77" s="40">
        <v>42846</v>
      </c>
      <c r="B77" s="35">
        <v>5261139</v>
      </c>
      <c r="C77" s="5"/>
      <c r="D77" s="36" t="s">
        <v>52</v>
      </c>
      <c r="E77" s="37">
        <v>593052</v>
      </c>
      <c r="F77" s="39"/>
      <c r="G77" s="38">
        <v>6075.62</v>
      </c>
      <c r="H77" s="39">
        <v>0</v>
      </c>
      <c r="I77" s="36"/>
      <c r="J77" s="18">
        <f t="shared" si="1"/>
        <v>6075.62</v>
      </c>
    </row>
    <row r="78" spans="1:10" ht="15" customHeight="1" x14ac:dyDescent="0.25">
      <c r="A78" s="40">
        <v>42842</v>
      </c>
      <c r="B78" s="35">
        <v>15668851</v>
      </c>
      <c r="C78" s="5"/>
      <c r="D78" s="36" t="s">
        <v>40</v>
      </c>
      <c r="E78" s="37">
        <v>592997</v>
      </c>
      <c r="F78" s="39"/>
      <c r="G78" s="38">
        <v>4267.5200000000004</v>
      </c>
      <c r="H78" s="39">
        <v>289.27999999999997</v>
      </c>
      <c r="I78" s="36"/>
      <c r="J78" s="18">
        <f t="shared" si="1"/>
        <v>4556.8</v>
      </c>
    </row>
    <row r="79" spans="1:10" ht="15" customHeight="1" x14ac:dyDescent="0.25">
      <c r="A79" s="40">
        <v>42831</v>
      </c>
      <c r="B79" s="35">
        <v>15729536</v>
      </c>
      <c r="C79" s="5"/>
      <c r="D79" s="36" t="s">
        <v>66</v>
      </c>
      <c r="E79" s="37">
        <v>592971</v>
      </c>
      <c r="F79" s="39"/>
      <c r="G79" s="38">
        <v>1931.89</v>
      </c>
      <c r="H79" s="39">
        <v>86.79</v>
      </c>
      <c r="I79" s="36"/>
      <c r="J79" s="18">
        <f t="shared" si="1"/>
        <v>2018.68</v>
      </c>
    </row>
    <row r="80" spans="1:10" ht="15" customHeight="1" x14ac:dyDescent="0.25">
      <c r="A80" s="40">
        <v>42851</v>
      </c>
      <c r="B80" s="35">
        <v>15729536</v>
      </c>
      <c r="C80" s="5"/>
      <c r="D80" s="36" t="s">
        <v>66</v>
      </c>
      <c r="E80" s="37">
        <v>593100</v>
      </c>
      <c r="F80" s="39"/>
      <c r="G80" s="38">
        <v>3369.6</v>
      </c>
      <c r="H80" s="39">
        <v>0</v>
      </c>
      <c r="I80" s="36"/>
      <c r="J80" s="18">
        <f t="shared" ref="J80:J86" si="2">G80+H80</f>
        <v>3369.6</v>
      </c>
    </row>
    <row r="81" spans="1:10" ht="15" customHeight="1" x14ac:dyDescent="0.25">
      <c r="A81" s="40">
        <v>42851</v>
      </c>
      <c r="B81" s="35">
        <v>15729536</v>
      </c>
      <c r="C81" s="5"/>
      <c r="D81" s="36" t="s">
        <v>66</v>
      </c>
      <c r="E81" s="37">
        <v>593101</v>
      </c>
      <c r="F81" s="39"/>
      <c r="G81" s="38">
        <v>1580</v>
      </c>
      <c r="H81" s="39">
        <v>0</v>
      </c>
      <c r="I81" s="2">
        <v>0</v>
      </c>
      <c r="J81" s="18">
        <f t="shared" si="2"/>
        <v>1580</v>
      </c>
    </row>
    <row r="82" spans="1:10" ht="15" customHeight="1" x14ac:dyDescent="0.25">
      <c r="A82" s="40">
        <v>42846</v>
      </c>
      <c r="B82" s="35">
        <v>11790818</v>
      </c>
      <c r="C82" s="5"/>
      <c r="D82" s="36" t="s">
        <v>53</v>
      </c>
      <c r="E82" s="37">
        <v>593058</v>
      </c>
      <c r="F82" s="39"/>
      <c r="G82" s="38">
        <v>3310.78</v>
      </c>
      <c r="H82" s="39">
        <v>0</v>
      </c>
      <c r="I82" s="2">
        <v>0</v>
      </c>
      <c r="J82" s="18">
        <f t="shared" si="2"/>
        <v>3310.78</v>
      </c>
    </row>
    <row r="83" spans="1:10" ht="15" customHeight="1" x14ac:dyDescent="0.25">
      <c r="A83" s="40">
        <v>42853</v>
      </c>
      <c r="B83" s="35">
        <v>4383023</v>
      </c>
      <c r="C83" s="5"/>
      <c r="D83" s="36" t="s">
        <v>59</v>
      </c>
      <c r="E83" s="37">
        <v>593141</v>
      </c>
      <c r="F83" s="39"/>
      <c r="G83" s="38">
        <v>8594.09</v>
      </c>
      <c r="H83" s="39">
        <v>163.93</v>
      </c>
      <c r="I83" s="2"/>
      <c r="J83" s="18">
        <f t="shared" si="2"/>
        <v>8758.02</v>
      </c>
    </row>
    <row r="84" spans="1:10" ht="15" customHeight="1" x14ac:dyDescent="0.25">
      <c r="A84" s="40">
        <v>42853</v>
      </c>
      <c r="B84" s="35">
        <v>4383023</v>
      </c>
      <c r="C84" s="5"/>
      <c r="D84" s="36" t="s">
        <v>59</v>
      </c>
      <c r="E84" s="37">
        <v>593142</v>
      </c>
      <c r="F84" s="39"/>
      <c r="G84" s="38">
        <v>3735.64</v>
      </c>
      <c r="H84" s="39">
        <v>367.5</v>
      </c>
      <c r="I84" s="2">
        <v>0</v>
      </c>
      <c r="J84" s="18">
        <f t="shared" si="2"/>
        <v>4103.1399999999994</v>
      </c>
    </row>
    <row r="85" spans="1:10" ht="15" customHeight="1" x14ac:dyDescent="0.25">
      <c r="A85" s="40">
        <v>42843</v>
      </c>
      <c r="B85" s="35">
        <v>7449457</v>
      </c>
      <c r="C85" s="5"/>
      <c r="D85" s="36" t="s">
        <v>41</v>
      </c>
      <c r="E85" s="37">
        <v>593003</v>
      </c>
      <c r="F85" s="39"/>
      <c r="G85" s="38">
        <v>2187.5</v>
      </c>
      <c r="H85" s="39">
        <v>262.5</v>
      </c>
      <c r="I85" s="2">
        <v>0</v>
      </c>
      <c r="J85" s="18">
        <f t="shared" si="2"/>
        <v>2450</v>
      </c>
    </row>
    <row r="86" spans="1:10" ht="15" customHeight="1" x14ac:dyDescent="0.25">
      <c r="A86" s="40">
        <v>42843</v>
      </c>
      <c r="B86" s="35">
        <v>11749469</v>
      </c>
      <c r="C86" s="5"/>
      <c r="D86" s="36" t="s">
        <v>43</v>
      </c>
      <c r="E86" s="37">
        <v>593006</v>
      </c>
      <c r="F86" s="39"/>
      <c r="G86" s="38">
        <v>6915.11</v>
      </c>
      <c r="H86" s="39">
        <v>0</v>
      </c>
      <c r="I86" s="2">
        <v>0</v>
      </c>
      <c r="J86" s="18">
        <f t="shared" si="2"/>
        <v>6915.11</v>
      </c>
    </row>
    <row r="87" spans="1:10" ht="15" customHeight="1" x14ac:dyDescent="0.25">
      <c r="D87" s="43" t="s">
        <v>17</v>
      </c>
      <c r="E87" s="44"/>
      <c r="F87" s="22"/>
      <c r="G87" s="21">
        <f>SUM(G42:G86)</f>
        <v>163850.85</v>
      </c>
      <c r="H87" s="21">
        <f>SUM(H42:H86)</f>
        <v>2506.66</v>
      </c>
      <c r="J87" s="17">
        <f>SUM(J12:J86)</f>
        <v>304892.83999999997</v>
      </c>
    </row>
    <row r="88" spans="1:10" ht="15" customHeight="1" x14ac:dyDescent="0.25"/>
    <row r="89" spans="1:10" ht="15" customHeight="1" x14ac:dyDescent="0.25"/>
    <row r="90" spans="1:10" ht="15" customHeight="1" x14ac:dyDescent="0.25">
      <c r="D90" s="45" t="s">
        <v>18</v>
      </c>
      <c r="E90" s="45"/>
      <c r="F90" s="31"/>
      <c r="G90" s="46">
        <f>J87</f>
        <v>304892.83999999997</v>
      </c>
    </row>
    <row r="91" spans="1:10" ht="15" customHeight="1" x14ac:dyDescent="0.25">
      <c r="D91" s="45"/>
      <c r="E91" s="45"/>
      <c r="F91" s="31"/>
      <c r="G91" s="46"/>
    </row>
    <row r="92" spans="1:10" ht="15" customHeight="1" x14ac:dyDescent="0.25"/>
    <row r="93" spans="1:10" ht="15" customHeight="1" x14ac:dyDescent="0.25">
      <c r="B93" s="53" t="s">
        <v>9</v>
      </c>
      <c r="C93" s="53"/>
      <c r="D93" s="53"/>
      <c r="E93" s="57" t="s">
        <v>10</v>
      </c>
      <c r="F93" s="57"/>
      <c r="G93" s="57"/>
      <c r="H93" s="57"/>
    </row>
    <row r="94" spans="1:10" ht="15" customHeight="1" x14ac:dyDescent="0.25">
      <c r="B94" s="12"/>
      <c r="C94" s="13"/>
      <c r="D94" s="13"/>
      <c r="E94" s="58"/>
      <c r="F94" s="58"/>
      <c r="G94" s="58"/>
      <c r="H94" s="58"/>
    </row>
    <row r="95" spans="1:10" ht="15" customHeight="1" x14ac:dyDescent="0.25">
      <c r="B95" s="14"/>
      <c r="C95" s="15"/>
      <c r="D95" s="16"/>
      <c r="E95" s="58"/>
      <c r="F95" s="58"/>
      <c r="G95" s="58"/>
      <c r="H95" s="58"/>
    </row>
    <row r="96" spans="1:10" ht="15" customHeight="1" x14ac:dyDescent="0.25">
      <c r="B96" s="54" t="s">
        <v>67</v>
      </c>
      <c r="C96" s="55"/>
      <c r="D96" s="56"/>
      <c r="E96" s="59" t="s">
        <v>15</v>
      </c>
      <c r="F96" s="59"/>
      <c r="G96" s="59"/>
      <c r="H96" s="59"/>
    </row>
    <row r="97" spans="1:8" ht="15" customHeight="1" x14ac:dyDescent="0.25">
      <c r="A97" s="15"/>
      <c r="B97" s="32"/>
      <c r="C97" s="15"/>
      <c r="D97" s="29"/>
      <c r="E97" s="29"/>
      <c r="F97" s="29"/>
      <c r="G97" s="28"/>
      <c r="H97" s="28"/>
    </row>
    <row r="98" spans="1:8" ht="19.5" x14ac:dyDescent="0.25">
      <c r="A98" s="15"/>
      <c r="B98" s="32"/>
      <c r="C98" s="15"/>
      <c r="D98" s="29"/>
      <c r="E98" s="29"/>
      <c r="F98" s="29"/>
      <c r="G98" s="28"/>
      <c r="H98" s="28"/>
    </row>
  </sheetData>
  <sortState ref="D8:K42">
    <sortCondition ref="D8"/>
  </sortState>
  <mergeCells count="15">
    <mergeCell ref="B93:D93"/>
    <mergeCell ref="B96:D96"/>
    <mergeCell ref="E93:H93"/>
    <mergeCell ref="E94:H95"/>
    <mergeCell ref="E96:H96"/>
    <mergeCell ref="D87:E87"/>
    <mergeCell ref="D90:E91"/>
    <mergeCell ref="G90:G91"/>
    <mergeCell ref="A9:J9"/>
    <mergeCell ref="A1:J1"/>
    <mergeCell ref="A2:J2"/>
    <mergeCell ref="A3:J3"/>
    <mergeCell ref="A7:J7"/>
    <mergeCell ref="A8:J8"/>
    <mergeCell ref="A4:J4"/>
  </mergeCells>
  <printOptions horizontalCentered="1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"/>
  <sheetViews>
    <sheetView tabSelected="1" topLeftCell="A7" workbookViewId="0">
      <selection activeCell="I60" sqref="I60"/>
    </sheetView>
  </sheetViews>
  <sheetFormatPr baseColWidth="10" defaultRowHeight="15" x14ac:dyDescent="0.25"/>
  <cols>
    <col min="1" max="1" width="10" customWidth="1"/>
    <col min="2" max="2" width="27" bestFit="1" customWidth="1"/>
  </cols>
  <sheetData>
    <row r="1" spans="1:5" x14ac:dyDescent="0.25">
      <c r="A1" t="str">
        <f>CONCATENATE("V",CAPPO!B12)</f>
        <v>V11269196</v>
      </c>
      <c r="B1" s="24" t="str">
        <f>+CAPPO!D12</f>
        <v>ANZOLA BLADIMIR</v>
      </c>
      <c r="C1">
        <f>+CAPPO!J12</f>
        <v>2450</v>
      </c>
      <c r="D1">
        <v>0</v>
      </c>
      <c r="E1">
        <f>+C1</f>
        <v>2450</v>
      </c>
    </row>
    <row r="2" spans="1:5" x14ac:dyDescent="0.25">
      <c r="A2" t="str">
        <f>CONCATENATE("V",CAPPO!B13)</f>
        <v>V17104709</v>
      </c>
      <c r="B2" s="24" t="str">
        <f>+CAPPO!D13</f>
        <v>BARRIOS B. PATRICIA</v>
      </c>
      <c r="C2">
        <f>+CAPPO!J13</f>
        <v>2761.2</v>
      </c>
      <c r="D2">
        <v>0</v>
      </c>
      <c r="E2">
        <f t="shared" ref="E2:E65" si="0">+C2</f>
        <v>2761.2</v>
      </c>
    </row>
    <row r="3" spans="1:5" x14ac:dyDescent="0.25">
      <c r="A3" t="str">
        <f>CONCATENATE("V",CAPPO!B14)</f>
        <v>V17104709</v>
      </c>
      <c r="B3" s="24" t="str">
        <f>+CAPPO!D14</f>
        <v>BARRIOS B. PATRICIA</v>
      </c>
      <c r="C3">
        <f>+CAPPO!J14</f>
        <v>4452</v>
      </c>
      <c r="D3">
        <v>0</v>
      </c>
      <c r="E3">
        <f t="shared" si="0"/>
        <v>4452</v>
      </c>
    </row>
    <row r="4" spans="1:5" x14ac:dyDescent="0.25">
      <c r="A4" t="str">
        <f>CONCATENATE("V",CAPPO!B15)</f>
        <v>V17104709</v>
      </c>
      <c r="B4" s="24" t="str">
        <f>+CAPPO!D15</f>
        <v>BARRIOS B. PATRICIA</v>
      </c>
      <c r="C4">
        <f>+CAPPO!J15</f>
        <v>5496</v>
      </c>
      <c r="D4">
        <v>0</v>
      </c>
      <c r="E4">
        <f t="shared" si="0"/>
        <v>5496</v>
      </c>
    </row>
    <row r="5" spans="1:5" x14ac:dyDescent="0.25">
      <c r="A5" t="str">
        <f>CONCATENATE("V",CAPPO!B16)</f>
        <v>V20046577</v>
      </c>
      <c r="B5" s="24" t="str">
        <f>+CAPPO!D16</f>
        <v>BELLO C. CRISTIAN R.</v>
      </c>
      <c r="C5">
        <f>+CAPPO!J16</f>
        <v>3169.9</v>
      </c>
      <c r="D5">
        <v>0</v>
      </c>
      <c r="E5">
        <f t="shared" si="0"/>
        <v>3169.9</v>
      </c>
    </row>
    <row r="6" spans="1:5" x14ac:dyDescent="0.25">
      <c r="A6" t="str">
        <f>CONCATENATE("V",CAPPO!B17)</f>
        <v>V3084978</v>
      </c>
      <c r="B6" s="24" t="str">
        <f>+CAPPO!D17</f>
        <v>CASTILLO  JOSE</v>
      </c>
      <c r="C6">
        <f>+CAPPO!J17</f>
        <v>6493.78</v>
      </c>
      <c r="D6">
        <v>0</v>
      </c>
      <c r="E6">
        <f t="shared" si="0"/>
        <v>6493.78</v>
      </c>
    </row>
    <row r="7" spans="1:5" x14ac:dyDescent="0.25">
      <c r="A7" t="str">
        <f>CONCATENATE("V",CAPPO!B18)</f>
        <v>V11787653</v>
      </c>
      <c r="B7" s="24" t="str">
        <f>+CAPPO!D18</f>
        <v>CASTILLO M. EDGAR</v>
      </c>
      <c r="C7">
        <f>+CAPPO!J18</f>
        <v>2826.61</v>
      </c>
      <c r="D7">
        <v>0</v>
      </c>
      <c r="E7">
        <f t="shared" si="0"/>
        <v>2826.61</v>
      </c>
    </row>
    <row r="8" spans="1:5" x14ac:dyDescent="0.25">
      <c r="A8" t="str">
        <f>CONCATENATE("V",CAPPO!B19)</f>
        <v>V11787653</v>
      </c>
      <c r="B8" s="24" t="str">
        <f>+CAPPO!D19</f>
        <v>CASTILLO M. EDGAR</v>
      </c>
      <c r="C8">
        <f>+CAPPO!J19</f>
        <v>3258.33</v>
      </c>
      <c r="D8">
        <v>0</v>
      </c>
      <c r="E8">
        <f t="shared" si="0"/>
        <v>3258.33</v>
      </c>
    </row>
    <row r="9" spans="1:5" x14ac:dyDescent="0.25">
      <c r="A9" t="str">
        <f>CONCATENATE("V",CAPPO!B20)</f>
        <v>V11787653</v>
      </c>
      <c r="B9" s="24" t="str">
        <f>+CAPPO!D20</f>
        <v>CASTILLO M. EDGAR</v>
      </c>
      <c r="C9">
        <f>+CAPPO!J20</f>
        <v>3064.29</v>
      </c>
      <c r="D9">
        <v>0</v>
      </c>
      <c r="E9">
        <f t="shared" si="0"/>
        <v>3064.29</v>
      </c>
    </row>
    <row r="10" spans="1:5" x14ac:dyDescent="0.25">
      <c r="A10" t="str">
        <f>CONCATENATE("V",CAPPO!B21)</f>
        <v>V7446644</v>
      </c>
      <c r="B10" s="24" t="str">
        <f>+CAPPO!D21</f>
        <v>CHIRINOS CARLOS GREGORIO</v>
      </c>
      <c r="C10">
        <f>+CAPPO!J21</f>
        <v>1213.9199999999998</v>
      </c>
      <c r="D10">
        <v>0</v>
      </c>
      <c r="E10">
        <f t="shared" si="0"/>
        <v>1213.9199999999998</v>
      </c>
    </row>
    <row r="11" spans="1:5" x14ac:dyDescent="0.25">
      <c r="A11" t="str">
        <f>CONCATENATE("V",CAPPO!B22)</f>
        <v>V9609337</v>
      </c>
      <c r="B11" s="24" t="str">
        <f>+CAPPO!D22</f>
        <v>CORRALES CLARISA</v>
      </c>
      <c r="C11">
        <f>+CAPPO!J22</f>
        <v>6501.33</v>
      </c>
      <c r="D11">
        <v>0</v>
      </c>
      <c r="E11">
        <f t="shared" si="0"/>
        <v>6501.33</v>
      </c>
    </row>
    <row r="12" spans="1:5" x14ac:dyDescent="0.25">
      <c r="A12" t="str">
        <f>CONCATENATE("V",CAPPO!B23)</f>
        <v>V9609337</v>
      </c>
      <c r="B12" s="24" t="str">
        <f>+CAPPO!D23</f>
        <v>CORRALES CLARISA</v>
      </c>
      <c r="C12">
        <f>+CAPPO!J23</f>
        <v>9070</v>
      </c>
      <c r="D12">
        <v>0</v>
      </c>
      <c r="E12">
        <f t="shared" si="0"/>
        <v>9070</v>
      </c>
    </row>
    <row r="13" spans="1:5" x14ac:dyDescent="0.25">
      <c r="A13" t="str">
        <f>CONCATENATE("V",CAPPO!B24)</f>
        <v>V9609337</v>
      </c>
      <c r="B13" s="24" t="str">
        <f>+CAPPO!D24</f>
        <v>CORRALES CLARISA</v>
      </c>
      <c r="C13">
        <f>+CAPPO!J24</f>
        <v>8518.4599999999991</v>
      </c>
      <c r="D13">
        <v>0</v>
      </c>
      <c r="E13">
        <f t="shared" si="0"/>
        <v>8518.4599999999991</v>
      </c>
    </row>
    <row r="14" spans="1:5" x14ac:dyDescent="0.25">
      <c r="A14" t="str">
        <f>CONCATENATE("V",CAPPO!B25)</f>
        <v>V13268000</v>
      </c>
      <c r="B14" s="24" t="str">
        <f>+CAPPO!D25</f>
        <v>DIAZ LEAL DANIEL</v>
      </c>
      <c r="C14">
        <f>+CAPPO!J25</f>
        <v>2229.9299999999998</v>
      </c>
      <c r="D14">
        <v>0</v>
      </c>
      <c r="E14">
        <f t="shared" si="0"/>
        <v>2229.9299999999998</v>
      </c>
    </row>
    <row r="15" spans="1:5" x14ac:dyDescent="0.25">
      <c r="A15" t="str">
        <f>CONCATENATE("V",CAPPO!B26)</f>
        <v>V13268000</v>
      </c>
      <c r="B15" s="24" t="str">
        <f>+CAPPO!D26</f>
        <v>DIAZ LEAL DANIEL</v>
      </c>
      <c r="C15">
        <f>+CAPPO!J26</f>
        <v>7899.39</v>
      </c>
      <c r="D15">
        <v>0</v>
      </c>
      <c r="E15">
        <f t="shared" si="0"/>
        <v>7899.39</v>
      </c>
    </row>
    <row r="16" spans="1:5" x14ac:dyDescent="0.25">
      <c r="A16" t="str">
        <f>CONCATENATE("V",CAPPO!B27)</f>
        <v>V4727740</v>
      </c>
      <c r="B16" s="24" t="str">
        <f>+CAPPO!D27</f>
        <v>DURAN  ADRIAN</v>
      </c>
      <c r="C16">
        <f>+CAPPO!J27</f>
        <v>13050.019999999999</v>
      </c>
      <c r="D16">
        <v>0</v>
      </c>
      <c r="E16">
        <f t="shared" si="0"/>
        <v>13050.019999999999</v>
      </c>
    </row>
    <row r="17" spans="1:5" x14ac:dyDescent="0.25">
      <c r="A17" t="str">
        <f>CONCATENATE("V",CAPPO!B28)</f>
        <v>V14143188</v>
      </c>
      <c r="B17" s="24" t="str">
        <f>+CAPPO!D28</f>
        <v>ESCALONA OVIEDO CARLOS</v>
      </c>
      <c r="C17">
        <f>+CAPPO!J28</f>
        <v>7966.21</v>
      </c>
      <c r="D17">
        <v>0</v>
      </c>
      <c r="E17">
        <f t="shared" si="0"/>
        <v>7966.21</v>
      </c>
    </row>
    <row r="18" spans="1:5" x14ac:dyDescent="0.25">
      <c r="A18" t="str">
        <f>CONCATENATE("V",CAPPO!B29)</f>
        <v>V11267811</v>
      </c>
      <c r="B18" s="24" t="str">
        <f>+CAPPO!D29</f>
        <v>FLORES JOSE</v>
      </c>
      <c r="C18">
        <f>+CAPPO!J29</f>
        <v>6770.11</v>
      </c>
      <c r="D18">
        <v>0</v>
      </c>
      <c r="E18">
        <f t="shared" si="0"/>
        <v>6770.11</v>
      </c>
    </row>
    <row r="19" spans="1:5" x14ac:dyDescent="0.25">
      <c r="A19" t="str">
        <f>CONCATENATE("V",CAPPO!B30)</f>
        <v>V11267811</v>
      </c>
      <c r="B19" s="24" t="str">
        <f>+CAPPO!D30</f>
        <v>FLORES JOSE</v>
      </c>
      <c r="C19">
        <f>+CAPPO!J30</f>
        <v>2825.7099999999996</v>
      </c>
      <c r="D19">
        <v>0</v>
      </c>
      <c r="E19">
        <f t="shared" si="0"/>
        <v>2825.7099999999996</v>
      </c>
    </row>
    <row r="20" spans="1:5" x14ac:dyDescent="0.25">
      <c r="A20" t="str">
        <f>CONCATENATE("V",CAPPO!B31)</f>
        <v>V5257727</v>
      </c>
      <c r="B20" s="24" t="str">
        <f>+CAPPO!D31</f>
        <v>GARCIA GUSTAVO</v>
      </c>
      <c r="C20">
        <f>+CAPPO!J31</f>
        <v>3170.97</v>
      </c>
      <c r="D20">
        <v>0</v>
      </c>
      <c r="E20">
        <f t="shared" si="0"/>
        <v>3170.97</v>
      </c>
    </row>
    <row r="21" spans="1:5" x14ac:dyDescent="0.25">
      <c r="A21" t="str">
        <f>CONCATENATE("V",CAPPO!B32)</f>
        <v>V5257727</v>
      </c>
      <c r="B21" s="24" t="str">
        <f>+CAPPO!D32</f>
        <v>GARCIA GUSTAVO</v>
      </c>
      <c r="C21">
        <f>+CAPPO!J32</f>
        <v>826.61</v>
      </c>
      <c r="D21">
        <v>0</v>
      </c>
      <c r="E21">
        <f t="shared" si="0"/>
        <v>826.61</v>
      </c>
    </row>
    <row r="22" spans="1:5" x14ac:dyDescent="0.25">
      <c r="A22" t="str">
        <f>CONCATENATE("V",CAPPO!B33)</f>
        <v>V21140944</v>
      </c>
      <c r="B22" s="24" t="str">
        <f>+CAPPO!D33</f>
        <v>GARCIA JOHAN</v>
      </c>
      <c r="C22">
        <f>+CAPPO!J33</f>
        <v>2990</v>
      </c>
      <c r="D22">
        <v>0</v>
      </c>
      <c r="E22">
        <f t="shared" si="0"/>
        <v>2990</v>
      </c>
    </row>
    <row r="23" spans="1:5" x14ac:dyDescent="0.25">
      <c r="A23" t="str">
        <f>CONCATENATE("V",CAPPO!B34)</f>
        <v>V3784066</v>
      </c>
      <c r="B23" s="24" t="str">
        <f>+CAPPO!D34</f>
        <v>GOMEZ ARACELIS</v>
      </c>
      <c r="C23">
        <f>+CAPPO!J34</f>
        <v>4086.52</v>
      </c>
      <c r="D23">
        <v>0</v>
      </c>
      <c r="E23">
        <f t="shared" si="0"/>
        <v>4086.52</v>
      </c>
    </row>
    <row r="24" spans="1:5" x14ac:dyDescent="0.25">
      <c r="A24" t="str">
        <f>CONCATENATE("V",CAPPO!B35)</f>
        <v>V3784066</v>
      </c>
      <c r="B24" s="24" t="str">
        <f>+CAPPO!D35</f>
        <v>GOMEZ ARACELIS</v>
      </c>
      <c r="C24">
        <f>+CAPPO!J35</f>
        <v>2530.6</v>
      </c>
      <c r="D24">
        <v>0</v>
      </c>
      <c r="E24">
        <f t="shared" si="0"/>
        <v>2530.6</v>
      </c>
    </row>
    <row r="25" spans="1:5" x14ac:dyDescent="0.25">
      <c r="A25" t="str">
        <f>CONCATENATE("V",CAPPO!B36)</f>
        <v>V12704927</v>
      </c>
      <c r="B25" s="24" t="str">
        <f>+CAPPO!D36</f>
        <v>GOMEZ MEDINA JUAN</v>
      </c>
      <c r="C25">
        <f>+CAPPO!J36</f>
        <v>1700</v>
      </c>
      <c r="D25">
        <v>0</v>
      </c>
      <c r="E25">
        <f t="shared" si="0"/>
        <v>1700</v>
      </c>
    </row>
    <row r="26" spans="1:5" x14ac:dyDescent="0.25">
      <c r="A26" t="str">
        <f>CONCATENATE("V",CAPPO!B37)</f>
        <v>V9552709</v>
      </c>
      <c r="B26" s="24" t="str">
        <f>+CAPPO!D37</f>
        <v>GOMEZ MIRNA</v>
      </c>
      <c r="C26">
        <f>+CAPPO!J37</f>
        <v>3003.16</v>
      </c>
      <c r="D26">
        <v>0</v>
      </c>
      <c r="E26">
        <f t="shared" si="0"/>
        <v>3003.16</v>
      </c>
    </row>
    <row r="27" spans="1:5" x14ac:dyDescent="0.25">
      <c r="A27" t="str">
        <f>CONCATENATE("V",CAPPO!B38)</f>
        <v>V9552709</v>
      </c>
      <c r="B27" s="24" t="str">
        <f>+CAPPO!D38</f>
        <v>GOMEZ MIRNA</v>
      </c>
      <c r="C27">
        <f>+CAPPO!J38</f>
        <v>7068.5300000000007</v>
      </c>
      <c r="D27">
        <v>0</v>
      </c>
      <c r="E27">
        <f t="shared" si="0"/>
        <v>7068.5300000000007</v>
      </c>
    </row>
    <row r="28" spans="1:5" x14ac:dyDescent="0.25">
      <c r="A28" t="str">
        <f>CONCATENATE("V",CAPPO!B39)</f>
        <v>V9552709</v>
      </c>
      <c r="B28" s="24" t="str">
        <f>+CAPPO!D39</f>
        <v>GOMEZ MIRNA</v>
      </c>
      <c r="C28">
        <f>+CAPPO!J39</f>
        <v>4885.71</v>
      </c>
      <c r="D28">
        <v>0</v>
      </c>
      <c r="E28">
        <f t="shared" si="0"/>
        <v>4885.71</v>
      </c>
    </row>
    <row r="29" spans="1:5" x14ac:dyDescent="0.25">
      <c r="A29" t="str">
        <f>CONCATENATE("V",CAPPO!B40)</f>
        <v>V9552709</v>
      </c>
      <c r="B29" s="24" t="str">
        <f>+CAPPO!D40</f>
        <v>GOMEZ MIRNA</v>
      </c>
      <c r="C29">
        <f>+CAPPO!J40</f>
        <v>4436.05</v>
      </c>
      <c r="D29">
        <v>0</v>
      </c>
      <c r="E29">
        <f t="shared" si="0"/>
        <v>4436.05</v>
      </c>
    </row>
    <row r="30" spans="1:5" x14ac:dyDescent="0.25">
      <c r="A30" t="str">
        <f>CONCATENATE("V",CAPPO!B41)</f>
        <v>V9552709</v>
      </c>
      <c r="B30" s="24" t="str">
        <f>+CAPPO!D41</f>
        <v>GOMEZ MIRNA</v>
      </c>
      <c r="C30">
        <f>+CAPPO!J41</f>
        <v>3819.99</v>
      </c>
      <c r="D30">
        <v>0</v>
      </c>
      <c r="E30">
        <f t="shared" si="0"/>
        <v>3819.99</v>
      </c>
    </row>
    <row r="31" spans="1:5" x14ac:dyDescent="0.25">
      <c r="A31" t="str">
        <f>CONCATENATE("V",CAPPO!B42)</f>
        <v>V10845717</v>
      </c>
      <c r="B31" s="24" t="str">
        <f>+CAPPO!D42</f>
        <v>GONZALEZ PINEDA KEIDA</v>
      </c>
      <c r="C31">
        <f>+CAPPO!J42</f>
        <v>3346.72</v>
      </c>
      <c r="D31">
        <v>0</v>
      </c>
      <c r="E31">
        <f t="shared" si="0"/>
        <v>3346.72</v>
      </c>
    </row>
    <row r="32" spans="1:5" x14ac:dyDescent="0.25">
      <c r="A32" t="str">
        <f>CONCATENATE("V",CAPPO!B43)</f>
        <v>V7309375</v>
      </c>
      <c r="B32" s="24" t="str">
        <f>+CAPPO!D43</f>
        <v>GUERRA  JOSE</v>
      </c>
      <c r="C32">
        <f>+CAPPO!J43</f>
        <v>7739.43</v>
      </c>
      <c r="D32">
        <v>0</v>
      </c>
      <c r="E32">
        <f t="shared" si="0"/>
        <v>7739.43</v>
      </c>
    </row>
    <row r="33" spans="1:5" x14ac:dyDescent="0.25">
      <c r="A33" t="str">
        <f>CONCATENATE("V",CAPPO!B44)</f>
        <v>V7309375</v>
      </c>
      <c r="B33" s="24" t="str">
        <f>+CAPPO!D44</f>
        <v>GUERRA  JOSE</v>
      </c>
      <c r="C33">
        <f>+CAPPO!J44</f>
        <v>540</v>
      </c>
      <c r="D33">
        <v>0</v>
      </c>
      <c r="E33">
        <f t="shared" si="0"/>
        <v>540</v>
      </c>
    </row>
    <row r="34" spans="1:5" x14ac:dyDescent="0.25">
      <c r="A34" t="str">
        <f>CONCATENATE("V",CAPPO!B45)</f>
        <v>V7415285</v>
      </c>
      <c r="B34" s="24" t="str">
        <f>+CAPPO!D45</f>
        <v>HERNANDEZ  CARLOS</v>
      </c>
      <c r="C34">
        <f>+CAPPO!J45</f>
        <v>1777.96</v>
      </c>
      <c r="D34">
        <v>0</v>
      </c>
      <c r="E34">
        <f t="shared" si="0"/>
        <v>1777.96</v>
      </c>
    </row>
    <row r="35" spans="1:5" x14ac:dyDescent="0.25">
      <c r="A35" t="str">
        <f>CONCATENATE("V",CAPPO!B46)</f>
        <v>V5765952</v>
      </c>
      <c r="B35" s="24" t="str">
        <f>+CAPPO!D46</f>
        <v>LUCENA  JOSE</v>
      </c>
      <c r="C35">
        <f>+CAPPO!J46</f>
        <v>2906.52</v>
      </c>
      <c r="D35">
        <v>0</v>
      </c>
      <c r="E35">
        <f t="shared" si="0"/>
        <v>2906.52</v>
      </c>
    </row>
    <row r="36" spans="1:5" x14ac:dyDescent="0.25">
      <c r="A36" t="str">
        <f>CONCATENATE("V",CAPPO!B47)</f>
        <v>V12018571</v>
      </c>
      <c r="B36" s="24" t="str">
        <f>+CAPPO!D47</f>
        <v>MARQUEZ JOSE LUIS</v>
      </c>
      <c r="C36">
        <f>+CAPPO!J47</f>
        <v>2105.61</v>
      </c>
      <c r="D36">
        <v>0</v>
      </c>
      <c r="E36">
        <f t="shared" si="0"/>
        <v>2105.61</v>
      </c>
    </row>
    <row r="37" spans="1:5" x14ac:dyDescent="0.25">
      <c r="A37" t="str">
        <f>CONCATENATE("V",CAPPO!B48)</f>
        <v>V9612692</v>
      </c>
      <c r="B37" s="24" t="str">
        <f>+CAPPO!D48</f>
        <v>MEDINA R. LUIS</v>
      </c>
      <c r="C37">
        <f>+CAPPO!J48</f>
        <v>3692.27</v>
      </c>
      <c r="D37">
        <v>0</v>
      </c>
      <c r="E37">
        <f t="shared" si="0"/>
        <v>3692.27</v>
      </c>
    </row>
    <row r="38" spans="1:5" x14ac:dyDescent="0.25">
      <c r="A38" t="str">
        <f>CONCATENATE("V",CAPPO!B49)</f>
        <v>V9617493</v>
      </c>
      <c r="B38" s="24" t="str">
        <f>+CAPPO!D49</f>
        <v>MENDEZ MARLENE</v>
      </c>
      <c r="C38">
        <f>+CAPPO!J49</f>
        <v>1890</v>
      </c>
      <c r="D38">
        <v>0</v>
      </c>
      <c r="E38">
        <f t="shared" si="0"/>
        <v>1890</v>
      </c>
    </row>
    <row r="39" spans="1:5" x14ac:dyDescent="0.25">
      <c r="A39" t="str">
        <f>CONCATENATE("V",CAPPO!B50)</f>
        <v>V14877620</v>
      </c>
      <c r="B39" s="24" t="str">
        <f>+CAPPO!D50</f>
        <v>MENDOZA TUA IGNACIO</v>
      </c>
      <c r="C39">
        <f>+CAPPO!J50</f>
        <v>2745.61</v>
      </c>
      <c r="D39">
        <v>0</v>
      </c>
      <c r="E39">
        <f t="shared" si="0"/>
        <v>2745.61</v>
      </c>
    </row>
    <row r="40" spans="1:5" s="25" customFormat="1" x14ac:dyDescent="0.25">
      <c r="A40" t="str">
        <f>CONCATENATE("V",CAPPO!B51)</f>
        <v>V3314884</v>
      </c>
      <c r="B40" s="24" t="str">
        <f>+CAPPO!D51</f>
        <v>OSTA MARIA</v>
      </c>
      <c r="C40">
        <f>+CAPPO!J51</f>
        <v>5037.1400000000003</v>
      </c>
      <c r="D40">
        <v>0</v>
      </c>
      <c r="E40">
        <f t="shared" si="0"/>
        <v>5037.1400000000003</v>
      </c>
    </row>
    <row r="41" spans="1:5" s="25" customFormat="1" x14ac:dyDescent="0.25">
      <c r="A41" t="str">
        <f>CONCATENATE("V",CAPPO!B52)</f>
        <v>V3314884</v>
      </c>
      <c r="B41" s="24" t="str">
        <f>+CAPPO!D52</f>
        <v>OSTA MARIA</v>
      </c>
      <c r="C41">
        <f>+CAPPO!J52</f>
        <v>2108.7800000000002</v>
      </c>
      <c r="D41">
        <v>0</v>
      </c>
      <c r="E41">
        <f t="shared" si="0"/>
        <v>2108.7800000000002</v>
      </c>
    </row>
    <row r="42" spans="1:5" x14ac:dyDescent="0.25">
      <c r="A42" t="str">
        <f>CONCATENATE("V",CAPPO!B53)</f>
        <v>V6573855</v>
      </c>
      <c r="B42" s="24" t="str">
        <f>+CAPPO!D53</f>
        <v>PEREZ AVILA LUIS</v>
      </c>
      <c r="C42">
        <f>+CAPPO!J53</f>
        <v>1738.14</v>
      </c>
      <c r="D42">
        <v>0</v>
      </c>
      <c r="E42">
        <f t="shared" si="0"/>
        <v>1738.14</v>
      </c>
    </row>
    <row r="43" spans="1:5" x14ac:dyDescent="0.25">
      <c r="A43" t="str">
        <f>CONCATENATE("V",CAPPO!B54)</f>
        <v>V7387544</v>
      </c>
      <c r="B43" s="24" t="str">
        <f>+CAPPO!D54</f>
        <v>PEROZO GREGORIO</v>
      </c>
      <c r="C43">
        <f>+CAPPO!J54</f>
        <v>3292.71</v>
      </c>
      <c r="D43">
        <v>0</v>
      </c>
      <c r="E43">
        <f t="shared" si="0"/>
        <v>3292.71</v>
      </c>
    </row>
    <row r="44" spans="1:5" x14ac:dyDescent="0.25">
      <c r="A44" t="str">
        <f>CONCATENATE("V",CAPPO!B55)</f>
        <v>V10846940</v>
      </c>
      <c r="B44" s="24" t="str">
        <f>+CAPPO!D55</f>
        <v>PIÑA RAFAEL</v>
      </c>
      <c r="C44">
        <f>+CAPPO!J55</f>
        <v>4198.3</v>
      </c>
      <c r="D44">
        <v>0</v>
      </c>
      <c r="E44">
        <f t="shared" si="0"/>
        <v>4198.3</v>
      </c>
    </row>
    <row r="45" spans="1:5" x14ac:dyDescent="0.25">
      <c r="A45" t="str">
        <f>CONCATENATE("V",CAPPO!B56)</f>
        <v>V15599929</v>
      </c>
      <c r="B45" s="24" t="str">
        <f>+CAPPO!D56</f>
        <v>PUERTA A. ELIZABETH</v>
      </c>
      <c r="C45">
        <f>+CAPPO!J56</f>
        <v>2218.73</v>
      </c>
      <c r="D45">
        <v>0</v>
      </c>
      <c r="E45">
        <f t="shared" si="0"/>
        <v>2218.73</v>
      </c>
    </row>
    <row r="46" spans="1:5" x14ac:dyDescent="0.25">
      <c r="A46" t="str">
        <f>CONCATENATE("V",CAPPO!B57)</f>
        <v>V17033290</v>
      </c>
      <c r="B46" s="24" t="str">
        <f>+CAPPO!D57</f>
        <v>QUINTERO  MARIA</v>
      </c>
      <c r="C46">
        <f>+CAPPO!J57</f>
        <v>5055</v>
      </c>
      <c r="D46">
        <v>0</v>
      </c>
      <c r="E46">
        <f t="shared" si="0"/>
        <v>5055</v>
      </c>
    </row>
    <row r="47" spans="1:5" x14ac:dyDescent="0.25">
      <c r="A47" t="str">
        <f>CONCATENATE("V",CAPPO!B58)</f>
        <v>V18054647</v>
      </c>
      <c r="B47" s="24" t="str">
        <f>+CAPPO!D58</f>
        <v>RIOS  LUIS</v>
      </c>
      <c r="C47">
        <f>+CAPPO!J58</f>
        <v>4350.6499999999996</v>
      </c>
      <c r="D47">
        <v>0</v>
      </c>
      <c r="E47">
        <f t="shared" si="0"/>
        <v>4350.6499999999996</v>
      </c>
    </row>
    <row r="48" spans="1:5" x14ac:dyDescent="0.25">
      <c r="A48" t="str">
        <f>CONCATENATE("V",CAPPO!B59)</f>
        <v>V18054647</v>
      </c>
      <c r="B48" s="24" t="str">
        <f>+CAPPO!D59</f>
        <v>RIOS  LUIS</v>
      </c>
      <c r="C48">
        <f>+CAPPO!J59</f>
        <v>4756.5200000000004</v>
      </c>
      <c r="D48">
        <v>0</v>
      </c>
      <c r="E48">
        <f t="shared" si="0"/>
        <v>4756.5200000000004</v>
      </c>
    </row>
    <row r="49" spans="1:5" x14ac:dyDescent="0.25">
      <c r="A49" t="str">
        <f>CONCATENATE("V",CAPPO!B60)</f>
        <v>V9613403</v>
      </c>
      <c r="B49" s="24" t="str">
        <f>+CAPPO!D60</f>
        <v>RODRIGUEZ AIDA</v>
      </c>
      <c r="C49">
        <f>+CAPPO!J60</f>
        <v>3327.9</v>
      </c>
      <c r="D49">
        <v>0</v>
      </c>
      <c r="E49">
        <f t="shared" si="0"/>
        <v>3327.9</v>
      </c>
    </row>
    <row r="50" spans="1:5" x14ac:dyDescent="0.25">
      <c r="A50" t="str">
        <f>CONCATENATE("V",CAPPO!B61)</f>
        <v>V14335445</v>
      </c>
      <c r="B50" s="24" t="str">
        <f>+CAPPO!D61</f>
        <v xml:space="preserve">RODRIGUEZ A. YOVANNY </v>
      </c>
      <c r="C50">
        <f>+CAPPO!J61</f>
        <v>2997.6</v>
      </c>
      <c r="D50">
        <v>0</v>
      </c>
      <c r="E50">
        <f t="shared" si="0"/>
        <v>2997.6</v>
      </c>
    </row>
    <row r="51" spans="1:5" x14ac:dyDescent="0.25">
      <c r="A51" t="str">
        <f>CONCATENATE("V",CAPPO!B62)</f>
        <v>V14335445</v>
      </c>
      <c r="B51" s="24" t="str">
        <f>+CAPPO!D62</f>
        <v xml:space="preserve">RODRIGUEZ A. YOVANNY </v>
      </c>
      <c r="C51">
        <f>+CAPPO!J62</f>
        <v>5055</v>
      </c>
      <c r="D51">
        <v>0</v>
      </c>
      <c r="E51">
        <f t="shared" si="0"/>
        <v>5055</v>
      </c>
    </row>
    <row r="52" spans="1:5" x14ac:dyDescent="0.25">
      <c r="A52" t="str">
        <f>CONCATENATE("V",CAPPO!B63)</f>
        <v>V14031497</v>
      </c>
      <c r="B52" s="24" t="str">
        <f>+CAPPO!D63</f>
        <v>RODRIGUEZ KENYER</v>
      </c>
      <c r="C52">
        <f>+CAPPO!J63</f>
        <v>1698.72</v>
      </c>
      <c r="D52">
        <v>0</v>
      </c>
      <c r="E52">
        <f t="shared" si="0"/>
        <v>1698.72</v>
      </c>
    </row>
    <row r="53" spans="1:5" x14ac:dyDescent="0.25">
      <c r="A53" t="str">
        <f>CONCATENATE("V",CAPPO!B64)</f>
        <v>V14031497</v>
      </c>
      <c r="B53" s="24" t="str">
        <f>+CAPPO!D64</f>
        <v>RODRIGUEZ KENYER</v>
      </c>
      <c r="C53">
        <f>+CAPPO!J64</f>
        <v>3820.93</v>
      </c>
      <c r="D53">
        <v>0</v>
      </c>
      <c r="E53">
        <f t="shared" si="0"/>
        <v>3820.93</v>
      </c>
    </row>
    <row r="54" spans="1:5" x14ac:dyDescent="0.25">
      <c r="A54" t="str">
        <f>CONCATENATE("V",CAPPO!B65)</f>
        <v>V14031497</v>
      </c>
      <c r="B54" s="24" t="str">
        <f>+CAPPO!D65</f>
        <v>RODRIGUEZ KENYER</v>
      </c>
      <c r="C54">
        <f>+CAPPO!J65</f>
        <v>5725</v>
      </c>
      <c r="D54">
        <v>0</v>
      </c>
      <c r="E54">
        <f t="shared" si="0"/>
        <v>5725</v>
      </c>
    </row>
    <row r="55" spans="1:5" x14ac:dyDescent="0.25">
      <c r="A55" t="str">
        <f>CONCATENATE("V",CAPPO!B66)</f>
        <v>V7425063</v>
      </c>
      <c r="B55" s="24" t="str">
        <f>+CAPPO!D66</f>
        <v>RODRIGUEZ LIGIA</v>
      </c>
      <c r="C55">
        <f>+CAPPO!J66</f>
        <v>1438.78</v>
      </c>
      <c r="D55">
        <v>0</v>
      </c>
      <c r="E55">
        <f t="shared" si="0"/>
        <v>1438.78</v>
      </c>
    </row>
    <row r="56" spans="1:5" x14ac:dyDescent="0.25">
      <c r="A56" t="str">
        <f>CONCATENATE("V",CAPPO!B67)</f>
        <v>V13785997</v>
      </c>
      <c r="B56" s="24" t="str">
        <f>+CAPPO!D67</f>
        <v>RODRIGUEZ WILLIAM</v>
      </c>
      <c r="C56">
        <f>+CAPPO!J67</f>
        <v>3771.42</v>
      </c>
      <c r="D56">
        <v>0</v>
      </c>
      <c r="E56">
        <f t="shared" si="0"/>
        <v>3771.42</v>
      </c>
    </row>
    <row r="57" spans="1:5" x14ac:dyDescent="0.25">
      <c r="A57" t="str">
        <f>CONCATENATE("V",CAPPO!B68)</f>
        <v>V14293690</v>
      </c>
      <c r="B57" s="24" t="str">
        <f>+CAPPO!D68</f>
        <v>SANCHEZ GLENDA MAR</v>
      </c>
      <c r="C57">
        <f>+CAPPO!J68</f>
        <v>5173.22</v>
      </c>
      <c r="D57">
        <v>0</v>
      </c>
      <c r="E57">
        <f t="shared" si="0"/>
        <v>5173.22</v>
      </c>
    </row>
    <row r="58" spans="1:5" x14ac:dyDescent="0.25">
      <c r="A58" t="str">
        <f>CONCATENATE("V",CAPPO!B69)</f>
        <v>V14293690</v>
      </c>
      <c r="B58" s="24" t="str">
        <f>+CAPPO!D69</f>
        <v>SANCHEZ GLENDA MAR</v>
      </c>
      <c r="C58">
        <f>+CAPPO!J69</f>
        <v>4642.1100000000006</v>
      </c>
      <c r="D58">
        <v>0</v>
      </c>
      <c r="E58">
        <f t="shared" si="0"/>
        <v>4642.1100000000006</v>
      </c>
    </row>
    <row r="59" spans="1:5" x14ac:dyDescent="0.25">
      <c r="A59" t="str">
        <f>CONCATENATE("V",CAPPO!B70)</f>
        <v>V17859921</v>
      </c>
      <c r="B59" s="24" t="str">
        <f>+CAPPO!D70</f>
        <v>SANCHEZ  ROSA VIRGINIA</v>
      </c>
      <c r="C59">
        <f>+CAPPO!J70</f>
        <v>4987.0600000000004</v>
      </c>
      <c r="D59">
        <v>0</v>
      </c>
      <c r="E59">
        <f t="shared" si="0"/>
        <v>4987.0600000000004</v>
      </c>
    </row>
    <row r="60" spans="1:5" x14ac:dyDescent="0.25">
      <c r="A60" t="str">
        <f>CONCATENATE("V",CAPPO!B71)</f>
        <v>V17859921</v>
      </c>
      <c r="B60" s="24" t="str">
        <f>+CAPPO!D71</f>
        <v>SANCHEZ  ROSA VIRGINIA</v>
      </c>
      <c r="C60">
        <f>+CAPPO!J71</f>
        <v>2454.08</v>
      </c>
      <c r="D60">
        <v>0</v>
      </c>
      <c r="E60">
        <f t="shared" si="0"/>
        <v>2454.08</v>
      </c>
    </row>
    <row r="61" spans="1:5" x14ac:dyDescent="0.25">
      <c r="A61" t="str">
        <f>CONCATENATE("V",CAPPO!B72)</f>
        <v>V17859921</v>
      </c>
      <c r="B61" s="24" t="str">
        <f>+CAPPO!D72</f>
        <v>SANCHEZ  ROSA VIRGINIA</v>
      </c>
      <c r="C61">
        <f>+CAPPO!J72</f>
        <v>1257.1400000000001</v>
      </c>
      <c r="D61">
        <v>0</v>
      </c>
      <c r="E61">
        <f t="shared" si="0"/>
        <v>1257.1400000000001</v>
      </c>
    </row>
    <row r="62" spans="1:5" x14ac:dyDescent="0.25">
      <c r="A62" t="str">
        <f>CONCATENATE("V",CAPPO!B73)</f>
        <v>V13265946</v>
      </c>
      <c r="B62" s="24" t="str">
        <f>+CAPPO!D73</f>
        <v>SUAREZ MARTINEZ ALEX</v>
      </c>
      <c r="C62">
        <f>+CAPPO!J73</f>
        <v>3444.22</v>
      </c>
      <c r="D62">
        <v>0</v>
      </c>
      <c r="E62">
        <f t="shared" si="0"/>
        <v>3444.22</v>
      </c>
    </row>
    <row r="63" spans="1:5" x14ac:dyDescent="0.25">
      <c r="A63" t="str">
        <f>CONCATENATE("V",CAPPO!B74)</f>
        <v>V17727473</v>
      </c>
      <c r="B63" s="24" t="str">
        <f>+CAPPO!D74</f>
        <v>SUAREZ PEROZO DIXON</v>
      </c>
      <c r="C63">
        <f>+CAPPO!J74</f>
        <v>6911.8</v>
      </c>
      <c r="D63">
        <v>0</v>
      </c>
      <c r="E63">
        <f t="shared" si="0"/>
        <v>6911.8</v>
      </c>
    </row>
    <row r="64" spans="1:5" x14ac:dyDescent="0.25">
      <c r="A64" t="str">
        <f>CONCATENATE("V",CAPPO!B75)</f>
        <v>V11633896</v>
      </c>
      <c r="B64" s="24" t="str">
        <f>+CAPPO!D75</f>
        <v>TORO AQUILES</v>
      </c>
      <c r="C64">
        <f>+CAPPO!J75</f>
        <v>2621.83</v>
      </c>
      <c r="D64">
        <v>0</v>
      </c>
      <c r="E64">
        <f t="shared" si="0"/>
        <v>2621.83</v>
      </c>
    </row>
    <row r="65" spans="1:5" x14ac:dyDescent="0.25">
      <c r="A65" t="str">
        <f>CONCATENATE("V",CAPPO!B76)</f>
        <v>V5261139</v>
      </c>
      <c r="B65" s="24" t="str">
        <f>+CAPPO!D76</f>
        <v>TORRES VIVAS JUVENAL</v>
      </c>
      <c r="C65">
        <f>+CAPPO!J76</f>
        <v>4392.8599999999997</v>
      </c>
      <c r="D65">
        <v>0</v>
      </c>
      <c r="E65">
        <f t="shared" si="0"/>
        <v>4392.8599999999997</v>
      </c>
    </row>
    <row r="66" spans="1:5" x14ac:dyDescent="0.25">
      <c r="A66" t="str">
        <f>CONCATENATE("V",CAPPO!B77)</f>
        <v>V5261139</v>
      </c>
      <c r="B66" s="24" t="str">
        <f>+CAPPO!D77</f>
        <v>TORRES VIVAS JUVENAL</v>
      </c>
      <c r="C66">
        <f>+CAPPO!J77</f>
        <v>6075.62</v>
      </c>
      <c r="D66">
        <v>0</v>
      </c>
      <c r="E66">
        <f t="shared" ref="E66:E75" si="1">+C66</f>
        <v>6075.62</v>
      </c>
    </row>
    <row r="67" spans="1:5" x14ac:dyDescent="0.25">
      <c r="A67" t="str">
        <f>CONCATENATE("V",CAPPO!B78)</f>
        <v>V15668851</v>
      </c>
      <c r="B67" s="24" t="str">
        <f>+CAPPO!D78</f>
        <v>URETA JORGE V.</v>
      </c>
      <c r="C67">
        <f>+CAPPO!J78</f>
        <v>4556.8</v>
      </c>
      <c r="D67">
        <v>0</v>
      </c>
      <c r="E67">
        <f t="shared" si="1"/>
        <v>4556.8</v>
      </c>
    </row>
    <row r="68" spans="1:5" x14ac:dyDescent="0.25">
      <c r="A68" t="str">
        <f>CONCATENATE("V",CAPPO!B79)</f>
        <v>V15729536</v>
      </c>
      <c r="B68" s="24" t="str">
        <f>+CAPPO!D79</f>
        <v>VALECILLOS GIAN CARLOS</v>
      </c>
      <c r="C68">
        <f>+CAPPO!J79</f>
        <v>2018.68</v>
      </c>
      <c r="D68">
        <v>0</v>
      </c>
      <c r="E68">
        <f t="shared" si="1"/>
        <v>2018.68</v>
      </c>
    </row>
    <row r="69" spans="1:5" x14ac:dyDescent="0.25">
      <c r="A69" t="str">
        <f>CONCATENATE("V",CAPPO!B80)</f>
        <v>V15729536</v>
      </c>
      <c r="B69" s="24" t="str">
        <f>+CAPPO!D80</f>
        <v>VALECILLOS GIAN CARLOS</v>
      </c>
      <c r="C69">
        <f>+CAPPO!J80</f>
        <v>3369.6</v>
      </c>
      <c r="D69">
        <v>0</v>
      </c>
      <c r="E69">
        <f t="shared" si="1"/>
        <v>3369.6</v>
      </c>
    </row>
    <row r="70" spans="1:5" x14ac:dyDescent="0.25">
      <c r="A70" t="str">
        <f>CONCATENATE("V",CAPPO!B81)</f>
        <v>V15729536</v>
      </c>
      <c r="B70" s="24" t="str">
        <f>+CAPPO!D81</f>
        <v>VALECILLOS GIAN CARLOS</v>
      </c>
      <c r="C70">
        <f>+CAPPO!J81</f>
        <v>1580</v>
      </c>
      <c r="D70">
        <v>0</v>
      </c>
      <c r="E70">
        <f t="shared" si="1"/>
        <v>1580</v>
      </c>
    </row>
    <row r="71" spans="1:5" x14ac:dyDescent="0.25">
      <c r="A71" t="str">
        <f>CONCATENATE("V",CAPPO!B82)</f>
        <v>V11790818</v>
      </c>
      <c r="B71" s="24" t="str">
        <f>+CAPPO!D82</f>
        <v>VASQUEZ FRANKLIN</v>
      </c>
      <c r="C71">
        <f>+CAPPO!J82</f>
        <v>3310.78</v>
      </c>
      <c r="D71">
        <v>0</v>
      </c>
      <c r="E71">
        <f t="shared" si="1"/>
        <v>3310.78</v>
      </c>
    </row>
    <row r="72" spans="1:5" x14ac:dyDescent="0.25">
      <c r="A72" t="str">
        <f>CONCATENATE("V",CAPPO!B83)</f>
        <v>V4383023</v>
      </c>
      <c r="B72" s="24" t="str">
        <f>+CAPPO!D83</f>
        <v>VELASQUEZ  EMILIO</v>
      </c>
      <c r="C72">
        <f>+CAPPO!J83</f>
        <v>8758.02</v>
      </c>
      <c r="D72">
        <v>0</v>
      </c>
      <c r="E72">
        <f t="shared" si="1"/>
        <v>8758.02</v>
      </c>
    </row>
    <row r="73" spans="1:5" x14ac:dyDescent="0.25">
      <c r="A73" t="str">
        <f>CONCATENATE("V",CAPPO!B84)</f>
        <v>V4383023</v>
      </c>
      <c r="B73" s="24" t="str">
        <f>+CAPPO!D84</f>
        <v>VELASQUEZ  EMILIO</v>
      </c>
      <c r="C73">
        <f>+CAPPO!J84</f>
        <v>4103.1399999999994</v>
      </c>
      <c r="D73">
        <v>0</v>
      </c>
      <c r="E73">
        <f t="shared" si="1"/>
        <v>4103.1399999999994</v>
      </c>
    </row>
    <row r="74" spans="1:5" x14ac:dyDescent="0.25">
      <c r="A74" t="str">
        <f>CONCATENATE("V",CAPPO!B85)</f>
        <v>V7449457</v>
      </c>
      <c r="B74" s="24" t="str">
        <f>+CAPPO!D85</f>
        <v>VISCAYA PEDRO</v>
      </c>
      <c r="C74">
        <f>+CAPPO!J85</f>
        <v>2450</v>
      </c>
      <c r="D74">
        <v>0</v>
      </c>
      <c r="E74">
        <f t="shared" si="1"/>
        <v>2450</v>
      </c>
    </row>
    <row r="75" spans="1:5" x14ac:dyDescent="0.25">
      <c r="A75" t="str">
        <f>CONCATENATE("V",CAPPO!B86)</f>
        <v>V11749469</v>
      </c>
      <c r="B75" s="24" t="str">
        <f>+CAPPO!D86</f>
        <v>ZAPATA  MILDRED</v>
      </c>
      <c r="C75">
        <f>+CAPPO!J86</f>
        <v>6915.11</v>
      </c>
      <c r="D75">
        <v>0</v>
      </c>
      <c r="E75">
        <f t="shared" si="1"/>
        <v>6915.11</v>
      </c>
    </row>
    <row r="76" spans="1:5" x14ac:dyDescent="0.25">
      <c r="B76" s="24"/>
    </row>
  </sheetData>
  <sortState ref="A2:I72">
    <sortCondition ref="A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CAPPO</vt:lpstr>
      <vt:lpstr>Hoja1</vt:lpstr>
      <vt:lpstr>CAPPO!Área_de_impresión</vt:lpstr>
    </vt:vector>
  </TitlesOfParts>
  <Company>farmacia universidad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farmacia universidad cappoucla</dc:creator>
  <cp:lastModifiedBy>gsanchez</cp:lastModifiedBy>
  <cp:lastPrinted>2017-05-02T17:06:30Z</cp:lastPrinted>
  <dcterms:created xsi:type="dcterms:W3CDTF">2011-11-14T15:12:23Z</dcterms:created>
  <dcterms:modified xsi:type="dcterms:W3CDTF">2017-05-03T16:38:09Z</dcterms:modified>
</cp:coreProperties>
</file>