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35" windowHeight="8070" activeTab="1"/>
  </bookViews>
  <sheets>
    <sheet name="CAPPO" sheetId="1" r:id="rId1"/>
    <sheet name="Hoja1" sheetId="2" r:id="rId2"/>
  </sheets>
  <definedNames>
    <definedName name="_xlnm.Print_Area" localSheetId="0">CAPPO!$A$1:$J$80</definedName>
  </definedNames>
  <calcPr calcId="144525"/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E1" i="2"/>
  <c r="C1" i="2"/>
  <c r="B1" i="2"/>
  <c r="A1" i="2"/>
  <c r="G70" i="1" l="1"/>
  <c r="H70" i="1"/>
  <c r="J70" i="1"/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12" i="1"/>
  <c r="G72" i="1" l="1"/>
</calcChain>
</file>

<file path=xl/sharedStrings.xml><?xml version="1.0" encoding="utf-8"?>
<sst xmlns="http://schemas.openxmlformats.org/spreadsheetml/2006/main" count="81" uniqueCount="65">
  <si>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</si>
  <si>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</si>
  <si>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</si>
  <si>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</si>
  <si>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</si>
  <si>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</si>
  <si>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</si>
  <si>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Dcto. Cap.</t>
  </si>
  <si>
    <t>IVA</t>
  </si>
  <si>
    <t>Elaborado Por:</t>
  </si>
  <si>
    <t xml:space="preserve">Recibido: (Firma y Sello) </t>
  </si>
  <si>
    <t xml:space="preserve"> CAPPO - UCLA</t>
  </si>
  <si>
    <t>Cliente</t>
  </si>
  <si>
    <t>Total Factura</t>
  </si>
  <si>
    <t>Dcto.</t>
  </si>
  <si>
    <t>CAPPO UCLA</t>
  </si>
  <si>
    <t>Glenda Sanchez</t>
  </si>
  <si>
    <t>RIF: J-315805855</t>
  </si>
  <si>
    <t xml:space="preserve">TOTALES: </t>
  </si>
  <si>
    <t>TOTAL A PAGAR</t>
  </si>
  <si>
    <t>Factura #</t>
  </si>
  <si>
    <t>Base Imponible</t>
  </si>
  <si>
    <t>MENDEZ MARLENE</t>
  </si>
  <si>
    <t>PEREIRA  PEDRO</t>
  </si>
  <si>
    <t>Desde  01/03/17 AL 19/03/17</t>
  </si>
  <si>
    <t>SUAREZ MIGUEL</t>
  </si>
  <si>
    <t>AZUAJE  ALEXANDER</t>
  </si>
  <si>
    <t>APOSTOL RUIZ LUIS</t>
  </si>
  <si>
    <t>GUERRA  JOSE</t>
  </si>
  <si>
    <t>TORO AQUILES</t>
  </si>
  <si>
    <t>VIRGUEZ DARWIN</t>
  </si>
  <si>
    <t>VASQUEZ U. EDIXON</t>
  </si>
  <si>
    <t>RIVERO  FREDDY</t>
  </si>
  <si>
    <t>SOTO EDUARDO</t>
  </si>
  <si>
    <t>PERNALETE ORQUIDIA</t>
  </si>
  <si>
    <t>MAVARE PEREZ LISBETH</t>
  </si>
  <si>
    <t>SILVA  JOSE</t>
  </si>
  <si>
    <t>GARCIA JOHAN</t>
  </si>
  <si>
    <t>PEREZ AVILA LUIS</t>
  </si>
  <si>
    <t>MENDOZA TUA IGNACIO</t>
  </si>
  <si>
    <t>MARTINEZ JOSE</t>
  </si>
  <si>
    <t>HERNANDEZ HECTOR</t>
  </si>
  <si>
    <t>VASQUEZ JORGE</t>
  </si>
  <si>
    <t>SILVA P JOSE</t>
  </si>
  <si>
    <t>ALVARADO  RAMON</t>
  </si>
  <si>
    <t>SUAREZ PEROZO DIXON</t>
  </si>
  <si>
    <t>REA ALEXIS</t>
  </si>
  <si>
    <t>ALVAREZ JAIME</t>
  </si>
  <si>
    <t>MARQUEZ JOSE LUIS</t>
  </si>
  <si>
    <t>UZCATEGUI  EDUARDO</t>
  </si>
  <si>
    <t>ALVAREZ NINOSKA</t>
  </si>
  <si>
    <t>QUERALES NORYS</t>
  </si>
  <si>
    <t>ZAPATA  MILDRED</t>
  </si>
  <si>
    <t>PEREZ FREDIS</t>
  </si>
  <si>
    <t>PUERTA ACOSTA ELIZAB</t>
  </si>
  <si>
    <t>CHAVEZ COLMENAREZ MARIA</t>
  </si>
  <si>
    <t>CHIRINOS CARLOS GREGORIO</t>
  </si>
  <si>
    <t>COLMENAREZ PALMA MIGUEL</t>
  </si>
  <si>
    <t>ESCALONA OVIEDO CARLOLUIS</t>
  </si>
  <si>
    <t>FLORES JOSE GREGORIO</t>
  </si>
  <si>
    <t>LINAREZ ADARFIO CARMELO</t>
  </si>
  <si>
    <t>MADRIZ C. GIOVANNY</t>
  </si>
  <si>
    <t>RODRIGUEZ  MELQUIADES</t>
  </si>
  <si>
    <t>SANCHEZ S ROSA VIRGINIA</t>
  </si>
  <si>
    <t>VIRGUEZ AGUILAR DIXON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</si>
</sst>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18"/>
      <name val="Arial Narrow"/>
      <family val="2"/>
    </font>
    <font>
      <sz val="9"/>
      <name val="Agency FB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2"/>
      <color indexed="18"/>
      <name val="Arial Black"/>
      <family val="2"/>
    </font>
    <font>
      <b/>
      <sz val="12"/>
      <color indexed="18"/>
      <name val="Copperplate Gothic Light"/>
      <family val="2"/>
    </font>
    <font>
      <sz val="12"/>
      <color indexed="18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name val="Agency FB"/>
      <family val="2"/>
    </font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b/>
      <sz val="16"/>
      <name val="Agency FB"/>
      <family val="2"/>
    </font>
    <font>
      <b/>
      <sz val="14"/>
      <name val="Agency FB"/>
      <family val="2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1" applyFont="1" applyAlignment="1"/>
    <xf numFmtId="164" fontId="4" fillId="0" borderId="3" xfId="1" applyNumberFormat="1" applyFont="1" applyBorder="1" applyAlignment="1">
      <alignment horizontal="center"/>
    </xf>
    <xf numFmtId="49" fontId="0" fillId="0" borderId="0" xfId="0" applyNumberFormat="1"/>
    <xf numFmtId="0" fontId="3" fillId="0" borderId="0" xfId="1" applyFont="1" applyAlignment="1">
      <alignment horizontal="center"/>
    </xf>
    <xf numFmtId="49" fontId="6" fillId="0" borderId="3" xfId="1" applyNumberFormat="1" applyFont="1" applyBorder="1" applyAlignment="1">
      <alignment horizontal="center"/>
    </xf>
    <xf numFmtId="164" fontId="6" fillId="0" borderId="3" xfId="1" applyNumberFormat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49" fontId="7" fillId="0" borderId="3" xfId="1" applyNumberFormat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7" fillId="0" borderId="3" xfId="1" applyNumberFormat="1" applyFont="1" applyBorder="1" applyAlignment="1">
      <alignment horizontal="center"/>
    </xf>
    <xf numFmtId="0" fontId="8" fillId="0" borderId="6" xfId="0" applyFont="1" applyBorder="1" applyAlignment="1"/>
    <xf numFmtId="0" fontId="0" fillId="0" borderId="0" xfId="0" applyBorder="1" applyAlignment="1"/>
    <xf numFmtId="0" fontId="0" fillId="0" borderId="6" xfId="0" applyBorder="1"/>
    <xf numFmtId="0" fontId="0" fillId="0" borderId="0" xfId="0" applyBorder="1"/>
    <xf numFmtId="165" fontId="0" fillId="0" borderId="0" xfId="0" applyNumberFormat="1" applyBorder="1"/>
    <xf numFmtId="164" fontId="13" fillId="0" borderId="5" xfId="1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right"/>
    </xf>
    <xf numFmtId="164" fontId="12" fillId="0" borderId="0" xfId="0" applyNumberFormat="1" applyFont="1" applyBorder="1"/>
    <xf numFmtId="0" fontId="12" fillId="0" borderId="0" xfId="0" applyFont="1" applyBorder="1"/>
    <xf numFmtId="0" fontId="0" fillId="0" borderId="3" xfId="0" applyBorder="1"/>
    <xf numFmtId="164" fontId="0" fillId="0" borderId="3" xfId="0" applyNumberFormat="1" applyBorder="1"/>
    <xf numFmtId="164" fontId="7" fillId="0" borderId="3" xfId="1" applyNumberFormat="1" applyFont="1" applyBorder="1" applyAlignment="1"/>
    <xf numFmtId="164" fontId="6" fillId="0" borderId="3" xfId="1" applyNumberFormat="1" applyFont="1" applyBorder="1" applyAlignment="1"/>
    <xf numFmtId="164" fontId="12" fillId="0" borderId="0" xfId="0" applyNumberFormat="1" applyFont="1" applyBorder="1" applyAlignment="1"/>
    <xf numFmtId="0" fontId="0" fillId="0" borderId="0" xfId="0" applyAlignment="1"/>
    <xf numFmtId="0" fontId="14" fillId="0" borderId="0" xfId="0" applyFont="1"/>
    <xf numFmtId="164" fontId="12" fillId="0" borderId="5" xfId="0" applyNumberFormat="1" applyFont="1" applyBorder="1"/>
    <xf numFmtId="0" fontId="12" fillId="0" borderId="5" xfId="0" applyFont="1" applyBorder="1"/>
    <xf numFmtId="164" fontId="12" fillId="0" borderId="5" xfId="0" applyNumberFormat="1" applyFont="1" applyBorder="1" applyAlignment="1"/>
    <xf numFmtId="165" fontId="6" fillId="0" borderId="3" xfId="1" applyNumberFormat="1" applyFont="1" applyBorder="1" applyAlignment="1">
      <alignment horizontal="center"/>
    </xf>
    <xf numFmtId="164" fontId="18" fillId="0" borderId="5" xfId="1" applyNumberFormat="1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6" fillId="0" borderId="0" xfId="0" applyFont="1"/>
    <xf numFmtId="164" fontId="3" fillId="0" borderId="0" xfId="1" applyNumberFormat="1" applyFont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6" fillId="0" borderId="0" xfId="1" applyNumberFormat="1" applyFont="1" applyBorder="1" applyAlignment="1">
      <alignment horizontal="center" vertical="center"/>
    </xf>
    <xf numFmtId="164" fontId="17" fillId="0" borderId="0" xfId="1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164" fontId="17" fillId="0" borderId="3" xfId="1" applyNumberFormat="1" applyFont="1" applyBorder="1" applyAlignment="1">
      <alignment horizontal="center" vertical="center"/>
    </xf>
    <xf numFmtId="49" fontId="0" fillId="0" borderId="0" xfId="0" applyNumberFormat="1" applyBorder="1"/>
    <xf numFmtId="49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0" fontId="15" fillId="0" borderId="0" xfId="1" applyFont="1" applyBorder="1" applyAlignment="1">
      <alignment horizontal="center"/>
    </xf>
    <xf numFmtId="167" fontId="0" fillId="0" borderId="3" xfId="0" applyNumberFormat="1" applyBorder="1"/>
    <xf numFmtId="0" fontId="7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0" borderId="1" xfId="0" applyFont="1" applyFill="1" applyBorder="1" applyAlignment="1">
      <alignment horizontal="right"/>
    </xf>
    <xf numFmtId="0" fontId="5" fillId="0" borderId="2" xfId="0" applyFont="1" applyFill="1" applyBorder="1" applyAlignment="1">
      <alignment horizontal="right"/>
    </xf>
    <xf numFmtId="164" fontId="17" fillId="0" borderId="3" xfId="1" applyNumberFormat="1" applyFont="1" applyBorder="1" applyAlignment="1">
      <alignment horizontal="center" vertical="center"/>
    </xf>
    <xf numFmtId="164" fontId="16" fillId="0" borderId="3" xfId="1" applyNumberFormat="1" applyFont="1" applyBorder="1" applyAlignment="1">
      <alignment horizontal="center" vertical="center"/>
    </xf>
    <xf numFmtId="0" fontId="15" fillId="0" borderId="0" xfId="1" applyFont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49" fontId="15" fillId="0" borderId="0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466724</xdr:colOff>
      <xdr:row>3</xdr:row>
      <xdr:rowOff>91652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0"/>
          <a:ext cx="952499" cy="739352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J82"/>
  <sheetViews>
    <sheetView workbookViewId="0">
      <selection activeCell="D16" sqref="D16"/>
    </sheetView>
  </sheetViews>
  <sheetFormatPr baseColWidth="10" defaultRowHeight="15" x14ac:dyDescent="0.25"/>
  <cols>
    <col min="1" max="1" width="8.42578125" bestFit="1" customWidth="1"/>
    <col min="2" max="2" width="10.140625" style="3" bestFit="1" customWidth="1"/>
    <col min="3" max="3" width="6.5703125" hidden="1" customWidth="1"/>
    <col min="4" max="4" width="27" bestFit="1" customWidth="1"/>
    <col min="5" max="5" width="8.85546875" style="45" bestFit="1" customWidth="1"/>
    <col min="6" max="6" width="8.28515625" hidden="1" customWidth="1"/>
    <col min="7" max="7" width="14.140625" customWidth="1"/>
    <col min="8" max="8" width="9" style="38" bestFit="1" customWidth="1"/>
    <col min="9" max="9" width="2.28515625" hidden="1" customWidth="1"/>
    <col min="10" max="10" width="12.28515625" style="26" bestFit="1" customWidth="1"/>
  </cols>
  <sheetData>
    <row r="1" spans="1:10" ht="19.5" x14ac:dyDescent="0.4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15.75" x14ac:dyDescent="0.25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5.75" x14ac:dyDescent="0.25">
      <c r="A3" s="63" t="s">
        <v>2</v>
      </c>
      <c r="B3" s="63"/>
      <c r="C3" s="63"/>
      <c r="D3" s="63"/>
      <c r="E3" s="63"/>
      <c r="F3" s="63"/>
      <c r="G3" s="63"/>
      <c r="H3" s="63"/>
      <c r="I3" s="63"/>
      <c r="J3" s="63"/>
    </row>
    <row r="4" spans="1:10" ht="15.75" x14ac:dyDescent="0.25">
      <c r="A4" s="63" t="s">
        <v>17</v>
      </c>
      <c r="B4" s="63"/>
      <c r="C4" s="63"/>
      <c r="D4" s="63"/>
      <c r="E4" s="63"/>
      <c r="F4" s="63"/>
      <c r="G4" s="63"/>
      <c r="H4" s="63"/>
      <c r="I4" s="63"/>
      <c r="J4" s="63"/>
    </row>
    <row r="5" spans="1:10" x14ac:dyDescent="0.25">
      <c r="A5" s="4"/>
      <c r="B5" s="4"/>
      <c r="C5" s="4"/>
      <c r="D5" s="4"/>
      <c r="E5" s="4"/>
      <c r="F5" s="4"/>
      <c r="G5" s="4"/>
      <c r="H5" s="36"/>
      <c r="I5" s="4"/>
      <c r="J5" s="1"/>
    </row>
    <row r="6" spans="1:10" x14ac:dyDescent="0.25">
      <c r="A6" s="4"/>
      <c r="B6" s="4"/>
      <c r="C6" s="4"/>
      <c r="D6" s="4"/>
      <c r="E6" s="4"/>
      <c r="F6" s="4"/>
      <c r="G6" s="4"/>
      <c r="H6" s="36"/>
      <c r="I6" s="4"/>
      <c r="J6" s="1"/>
    </row>
    <row r="7" spans="1:10" s="27" customFormat="1" ht="18" customHeight="1" x14ac:dyDescent="0.25">
      <c r="A7" s="64" t="s">
        <v>3</v>
      </c>
      <c r="B7" s="64"/>
      <c r="C7" s="64"/>
      <c r="D7" s="64"/>
      <c r="E7" s="64"/>
      <c r="F7" s="64"/>
      <c r="G7" s="64"/>
      <c r="H7" s="64"/>
      <c r="I7" s="64"/>
      <c r="J7" s="64"/>
    </row>
    <row r="8" spans="1:10" s="27" customFormat="1" ht="18" customHeight="1" x14ac:dyDescent="0.25">
      <c r="A8" s="65" t="s">
        <v>11</v>
      </c>
      <c r="B8" s="65"/>
      <c r="C8" s="65"/>
      <c r="D8" s="65"/>
      <c r="E8" s="65"/>
      <c r="F8" s="65"/>
      <c r="G8" s="65"/>
      <c r="H8" s="65"/>
      <c r="I8" s="65"/>
      <c r="J8" s="65"/>
    </row>
    <row r="9" spans="1:10" s="27" customFormat="1" ht="18" customHeight="1" x14ac:dyDescent="0.25">
      <c r="A9" s="60" t="s">
        <v>24</v>
      </c>
      <c r="B9" s="60"/>
      <c r="C9" s="60"/>
      <c r="D9" s="60"/>
      <c r="E9" s="60"/>
      <c r="F9" s="60"/>
      <c r="G9" s="60"/>
      <c r="H9" s="60"/>
      <c r="I9" s="60"/>
      <c r="J9" s="60"/>
    </row>
    <row r="10" spans="1:10" s="27" customFormat="1" ht="18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18" customHeight="1" x14ac:dyDescent="0.25">
      <c r="A11" s="7" t="s">
        <v>4</v>
      </c>
      <c r="B11" s="8" t="s">
        <v>5</v>
      </c>
      <c r="C11" s="9" t="s">
        <v>6</v>
      </c>
      <c r="D11" s="10" t="s">
        <v>12</v>
      </c>
      <c r="E11" s="10" t="s">
        <v>20</v>
      </c>
      <c r="F11" s="11" t="s">
        <v>14</v>
      </c>
      <c r="G11" s="41" t="s">
        <v>21</v>
      </c>
      <c r="H11" s="11" t="s">
        <v>8</v>
      </c>
      <c r="I11" s="11" t="s">
        <v>7</v>
      </c>
      <c r="J11" s="23" t="s">
        <v>13</v>
      </c>
    </row>
    <row r="12" spans="1:10" ht="18" customHeight="1" x14ac:dyDescent="0.25">
      <c r="A12" s="48">
        <v>42807</v>
      </c>
      <c r="B12" s="31">
        <v>10784623</v>
      </c>
      <c r="C12" s="5"/>
      <c r="D12" s="21" t="s">
        <v>44</v>
      </c>
      <c r="E12" s="44">
        <v>592658</v>
      </c>
      <c r="F12" s="22"/>
      <c r="G12" s="22">
        <v>3293.02</v>
      </c>
      <c r="H12" s="22">
        <v>0</v>
      </c>
      <c r="I12" s="6">
        <v>0</v>
      </c>
      <c r="J12" s="24">
        <f t="shared" ref="J12:J43" si="0">G12+H12</f>
        <v>3293.02</v>
      </c>
    </row>
    <row r="13" spans="1:10" ht="18" customHeight="1" x14ac:dyDescent="0.25">
      <c r="A13" s="48">
        <v>42807</v>
      </c>
      <c r="B13" s="31">
        <v>10784623</v>
      </c>
      <c r="C13" s="5"/>
      <c r="D13" s="21" t="s">
        <v>44</v>
      </c>
      <c r="E13" s="44">
        <v>592659</v>
      </c>
      <c r="F13" s="22"/>
      <c r="G13" s="22">
        <v>1926.79</v>
      </c>
      <c r="H13" s="22">
        <v>163.93</v>
      </c>
      <c r="I13" s="6"/>
      <c r="J13" s="24">
        <f t="shared" si="0"/>
        <v>2090.7199999999998</v>
      </c>
    </row>
    <row r="14" spans="1:10" ht="18" customHeight="1" x14ac:dyDescent="0.25">
      <c r="A14" s="48">
        <v>42808</v>
      </c>
      <c r="B14" s="31">
        <v>7388125</v>
      </c>
      <c r="C14" s="5"/>
      <c r="D14" s="21" t="s">
        <v>47</v>
      </c>
      <c r="E14" s="44">
        <v>592682</v>
      </c>
      <c r="F14" s="22"/>
      <c r="G14" s="22">
        <v>899.06</v>
      </c>
      <c r="H14" s="22">
        <v>0</v>
      </c>
      <c r="I14" s="6"/>
      <c r="J14" s="24">
        <f t="shared" si="0"/>
        <v>899.06</v>
      </c>
    </row>
    <row r="15" spans="1:10" ht="18" customHeight="1" x14ac:dyDescent="0.25">
      <c r="A15" s="48">
        <v>42809</v>
      </c>
      <c r="B15" s="31">
        <v>18785684</v>
      </c>
      <c r="C15" s="5"/>
      <c r="D15" s="21" t="s">
        <v>50</v>
      </c>
      <c r="E15" s="44">
        <v>592689</v>
      </c>
      <c r="F15" s="22"/>
      <c r="G15" s="22">
        <v>5220</v>
      </c>
      <c r="H15" s="22">
        <v>163.93</v>
      </c>
      <c r="I15" s="6"/>
      <c r="J15" s="24">
        <f t="shared" si="0"/>
        <v>5383.93</v>
      </c>
    </row>
    <row r="16" spans="1:10" ht="18" customHeight="1" x14ac:dyDescent="0.25">
      <c r="A16" s="48">
        <v>42797</v>
      </c>
      <c r="B16" s="31">
        <v>7410177</v>
      </c>
      <c r="C16" s="5"/>
      <c r="D16" s="21" t="s">
        <v>27</v>
      </c>
      <c r="E16" s="44">
        <v>592534</v>
      </c>
      <c r="F16" s="22"/>
      <c r="G16" s="22">
        <v>9429.9699999999993</v>
      </c>
      <c r="H16" s="22">
        <v>0</v>
      </c>
      <c r="I16" s="6"/>
      <c r="J16" s="24">
        <f t="shared" si="0"/>
        <v>9429.9699999999993</v>
      </c>
    </row>
    <row r="17" spans="1:10" ht="18" customHeight="1" x14ac:dyDescent="0.25">
      <c r="A17" s="48">
        <v>42797</v>
      </c>
      <c r="B17" s="31">
        <v>13774684</v>
      </c>
      <c r="C17" s="5"/>
      <c r="D17" s="21" t="s">
        <v>26</v>
      </c>
      <c r="E17" s="44">
        <v>592536</v>
      </c>
      <c r="F17" s="22"/>
      <c r="G17" s="22">
        <v>9429.9699999999993</v>
      </c>
      <c r="H17" s="22">
        <v>0</v>
      </c>
      <c r="I17" s="6"/>
      <c r="J17" s="24">
        <f t="shared" si="0"/>
        <v>9429.9699999999993</v>
      </c>
    </row>
    <row r="18" spans="1:10" ht="18" customHeight="1" x14ac:dyDescent="0.25">
      <c r="A18" s="48">
        <v>42797</v>
      </c>
      <c r="B18" s="31">
        <v>7316607</v>
      </c>
      <c r="C18" s="5"/>
      <c r="D18" s="21" t="s">
        <v>55</v>
      </c>
      <c r="E18" s="44">
        <v>592532</v>
      </c>
      <c r="F18" s="22"/>
      <c r="G18" s="22">
        <v>3141.43</v>
      </c>
      <c r="H18" s="22">
        <v>0</v>
      </c>
      <c r="I18" s="6"/>
      <c r="J18" s="24">
        <f t="shared" si="0"/>
        <v>3141.43</v>
      </c>
    </row>
    <row r="19" spans="1:10" ht="18" customHeight="1" x14ac:dyDescent="0.25">
      <c r="A19" s="48">
        <v>42801</v>
      </c>
      <c r="B19" s="31">
        <v>7446644</v>
      </c>
      <c r="C19" s="5"/>
      <c r="D19" s="21" t="s">
        <v>56</v>
      </c>
      <c r="E19" s="44">
        <v>592587</v>
      </c>
      <c r="F19" s="22"/>
      <c r="G19" s="22">
        <v>1160.94</v>
      </c>
      <c r="H19" s="22">
        <v>0</v>
      </c>
      <c r="I19" s="6"/>
      <c r="J19" s="24">
        <f t="shared" si="0"/>
        <v>1160.94</v>
      </c>
    </row>
    <row r="20" spans="1:10" ht="18" customHeight="1" x14ac:dyDescent="0.25">
      <c r="A20" s="48">
        <v>42803</v>
      </c>
      <c r="B20" s="31">
        <v>7310425</v>
      </c>
      <c r="C20" s="5"/>
      <c r="D20" s="21" t="s">
        <v>57</v>
      </c>
      <c r="E20" s="44">
        <v>592617</v>
      </c>
      <c r="F20" s="22"/>
      <c r="G20" s="22">
        <v>5796.79</v>
      </c>
      <c r="H20" s="22">
        <v>0</v>
      </c>
      <c r="I20" s="6"/>
      <c r="J20" s="24">
        <f t="shared" si="0"/>
        <v>5796.79</v>
      </c>
    </row>
    <row r="21" spans="1:10" ht="18" customHeight="1" x14ac:dyDescent="0.25">
      <c r="A21" s="48">
        <v>42802</v>
      </c>
      <c r="B21" s="31">
        <v>14143188</v>
      </c>
      <c r="C21" s="5"/>
      <c r="D21" s="21" t="s">
        <v>58</v>
      </c>
      <c r="E21" s="44">
        <v>592594</v>
      </c>
      <c r="F21" s="22"/>
      <c r="G21" s="22">
        <v>2434.52</v>
      </c>
      <c r="H21" s="22">
        <v>86.79</v>
      </c>
      <c r="I21" s="6"/>
      <c r="J21" s="24">
        <f t="shared" si="0"/>
        <v>2521.31</v>
      </c>
    </row>
    <row r="22" spans="1:10" ht="18" customHeight="1" x14ac:dyDescent="0.25">
      <c r="A22" s="48">
        <v>42796</v>
      </c>
      <c r="B22" s="31">
        <v>11267811</v>
      </c>
      <c r="C22" s="5"/>
      <c r="D22" s="21" t="s">
        <v>59</v>
      </c>
      <c r="E22" s="44">
        <v>592519</v>
      </c>
      <c r="F22" s="22"/>
      <c r="G22" s="22">
        <v>1627.32</v>
      </c>
      <c r="H22" s="22">
        <v>86.79</v>
      </c>
      <c r="I22" s="6"/>
      <c r="J22" s="24">
        <f t="shared" si="0"/>
        <v>1714.11</v>
      </c>
    </row>
    <row r="23" spans="1:10" ht="18" customHeight="1" x14ac:dyDescent="0.25">
      <c r="A23" s="48">
        <v>42811</v>
      </c>
      <c r="B23" s="31">
        <v>11267811</v>
      </c>
      <c r="C23" s="5"/>
      <c r="D23" s="21" t="s">
        <v>59</v>
      </c>
      <c r="E23" s="44">
        <v>592725</v>
      </c>
      <c r="F23" s="22"/>
      <c r="G23" s="22">
        <v>2043.11</v>
      </c>
      <c r="H23" s="22">
        <v>0</v>
      </c>
      <c r="I23" s="6"/>
      <c r="J23" s="24">
        <f t="shared" si="0"/>
        <v>2043.11</v>
      </c>
    </row>
    <row r="24" spans="1:10" ht="18" customHeight="1" x14ac:dyDescent="0.25">
      <c r="A24" s="48">
        <v>42802</v>
      </c>
      <c r="B24" s="31">
        <v>21140944</v>
      </c>
      <c r="C24" s="5"/>
      <c r="D24" s="21" t="s">
        <v>37</v>
      </c>
      <c r="E24" s="44">
        <v>592595</v>
      </c>
      <c r="F24" s="22"/>
      <c r="G24" s="22">
        <v>3930.71</v>
      </c>
      <c r="H24" s="22">
        <v>0</v>
      </c>
      <c r="I24" s="6"/>
      <c r="J24" s="24">
        <f t="shared" si="0"/>
        <v>3930.71</v>
      </c>
    </row>
    <row r="25" spans="1:10" ht="18" customHeight="1" x14ac:dyDescent="0.25">
      <c r="A25" s="48">
        <v>42800</v>
      </c>
      <c r="B25" s="31">
        <v>7309375</v>
      </c>
      <c r="C25" s="5"/>
      <c r="D25" s="21" t="s">
        <v>28</v>
      </c>
      <c r="E25" s="44">
        <v>592568</v>
      </c>
      <c r="F25" s="22"/>
      <c r="G25" s="22">
        <v>1397.67</v>
      </c>
      <c r="H25" s="22">
        <v>0</v>
      </c>
      <c r="I25" s="6"/>
      <c r="J25" s="24">
        <f t="shared" si="0"/>
        <v>1397.67</v>
      </c>
    </row>
    <row r="26" spans="1:10" ht="18" customHeight="1" x14ac:dyDescent="0.25">
      <c r="A26" s="48">
        <v>42804</v>
      </c>
      <c r="B26" s="31">
        <v>13188137</v>
      </c>
      <c r="C26" s="5"/>
      <c r="D26" s="21" t="s">
        <v>41</v>
      </c>
      <c r="E26" s="44">
        <v>592642</v>
      </c>
      <c r="F26" s="22"/>
      <c r="G26" s="22">
        <v>4266.34</v>
      </c>
      <c r="H26" s="22">
        <v>0</v>
      </c>
      <c r="I26" s="6"/>
      <c r="J26" s="24">
        <f t="shared" si="0"/>
        <v>4266.34</v>
      </c>
    </row>
    <row r="27" spans="1:10" ht="18" customHeight="1" x14ac:dyDescent="0.25">
      <c r="A27" s="48">
        <v>42804</v>
      </c>
      <c r="B27" s="31">
        <v>13188137</v>
      </c>
      <c r="C27" s="5"/>
      <c r="D27" s="21" t="s">
        <v>41</v>
      </c>
      <c r="E27" s="44">
        <v>592643</v>
      </c>
      <c r="F27" s="22"/>
      <c r="G27" s="22">
        <v>2548.21</v>
      </c>
      <c r="H27" s="22">
        <v>247.5</v>
      </c>
      <c r="I27" s="6"/>
      <c r="J27" s="24">
        <f t="shared" si="0"/>
        <v>2795.71</v>
      </c>
    </row>
    <row r="28" spans="1:10" ht="18" customHeight="1" x14ac:dyDescent="0.25">
      <c r="A28" s="48">
        <v>42811</v>
      </c>
      <c r="B28" s="31">
        <v>13188137</v>
      </c>
      <c r="C28" s="5"/>
      <c r="D28" s="21" t="s">
        <v>41</v>
      </c>
      <c r="E28" s="44">
        <v>592726</v>
      </c>
      <c r="F28" s="22"/>
      <c r="G28" s="22">
        <v>3701.58</v>
      </c>
      <c r="H28" s="22">
        <v>261.43</v>
      </c>
      <c r="I28" s="6"/>
      <c r="J28" s="24">
        <f t="shared" si="0"/>
        <v>3963.0099999999998</v>
      </c>
    </row>
    <row r="29" spans="1:10" ht="18" customHeight="1" x14ac:dyDescent="0.25">
      <c r="A29" s="48">
        <v>42797</v>
      </c>
      <c r="B29" s="31">
        <v>14372818</v>
      </c>
      <c r="C29" s="5"/>
      <c r="D29" s="21" t="s">
        <v>60</v>
      </c>
      <c r="E29" s="44">
        <v>592529</v>
      </c>
      <c r="F29" s="22"/>
      <c r="G29" s="22">
        <v>2895.27</v>
      </c>
      <c r="H29" s="22">
        <v>0</v>
      </c>
      <c r="I29" s="6"/>
      <c r="J29" s="24">
        <f t="shared" si="0"/>
        <v>2895.27</v>
      </c>
    </row>
    <row r="30" spans="1:10" ht="18" customHeight="1" x14ac:dyDescent="0.25">
      <c r="A30" s="48">
        <v>42797</v>
      </c>
      <c r="B30" s="31">
        <v>14372818</v>
      </c>
      <c r="C30" s="5"/>
      <c r="D30" s="21" t="s">
        <v>60</v>
      </c>
      <c r="E30" s="44">
        <v>592530</v>
      </c>
      <c r="F30" s="22"/>
      <c r="G30" s="22">
        <v>3140.04</v>
      </c>
      <c r="H30" s="22">
        <v>194.97</v>
      </c>
      <c r="I30" s="6"/>
      <c r="J30" s="24">
        <f t="shared" si="0"/>
        <v>3335.0099999999998</v>
      </c>
    </row>
    <row r="31" spans="1:10" ht="18" customHeight="1" x14ac:dyDescent="0.25">
      <c r="A31" s="48">
        <v>42797</v>
      </c>
      <c r="B31" s="31">
        <v>14372818</v>
      </c>
      <c r="C31" s="5"/>
      <c r="D31" s="21" t="s">
        <v>60</v>
      </c>
      <c r="E31" s="44">
        <v>592531</v>
      </c>
      <c r="F31" s="22"/>
      <c r="G31" s="22">
        <v>9210</v>
      </c>
      <c r="H31" s="22">
        <v>0</v>
      </c>
      <c r="I31" s="6"/>
      <c r="J31" s="24">
        <f t="shared" si="0"/>
        <v>9210</v>
      </c>
    </row>
    <row r="32" spans="1:10" ht="18" customHeight="1" x14ac:dyDescent="0.25">
      <c r="A32" s="48">
        <v>42809</v>
      </c>
      <c r="B32" s="31">
        <v>11429792</v>
      </c>
      <c r="C32" s="5"/>
      <c r="D32" s="21" t="s">
        <v>61</v>
      </c>
      <c r="E32" s="44">
        <v>592686</v>
      </c>
      <c r="F32" s="22"/>
      <c r="G32" s="22">
        <v>2331.2800000000002</v>
      </c>
      <c r="H32" s="22">
        <v>128.57</v>
      </c>
      <c r="I32" s="6"/>
      <c r="J32" s="24">
        <f t="shared" si="0"/>
        <v>2459.8500000000004</v>
      </c>
    </row>
    <row r="33" spans="1:10" ht="18" customHeight="1" x14ac:dyDescent="0.25">
      <c r="A33" s="48">
        <v>42808</v>
      </c>
      <c r="B33" s="31">
        <v>12018571</v>
      </c>
      <c r="C33" s="5"/>
      <c r="D33" s="21" t="s">
        <v>48</v>
      </c>
      <c r="E33" s="44">
        <v>592674</v>
      </c>
      <c r="F33" s="22"/>
      <c r="G33" s="22">
        <v>5320</v>
      </c>
      <c r="H33" s="22">
        <v>0</v>
      </c>
      <c r="I33" s="6"/>
      <c r="J33" s="24">
        <f t="shared" si="0"/>
        <v>5320</v>
      </c>
    </row>
    <row r="34" spans="1:10" ht="18" customHeight="1" x14ac:dyDescent="0.25">
      <c r="A34" s="48">
        <v>42808</v>
      </c>
      <c r="B34" s="31">
        <v>12018571</v>
      </c>
      <c r="C34" s="5"/>
      <c r="D34" s="21" t="s">
        <v>48</v>
      </c>
      <c r="E34" s="44">
        <v>592675</v>
      </c>
      <c r="F34" s="22"/>
      <c r="G34" s="22">
        <v>3869.65</v>
      </c>
      <c r="H34" s="22">
        <v>0</v>
      </c>
      <c r="I34" s="6"/>
      <c r="J34" s="24">
        <f t="shared" si="0"/>
        <v>3869.65</v>
      </c>
    </row>
    <row r="35" spans="1:10" ht="18" customHeight="1" x14ac:dyDescent="0.25">
      <c r="A35" s="48">
        <v>42804</v>
      </c>
      <c r="B35" s="31">
        <v>5248954</v>
      </c>
      <c r="C35" s="5"/>
      <c r="D35" s="21" t="s">
        <v>40</v>
      </c>
      <c r="E35" s="44">
        <v>592634</v>
      </c>
      <c r="F35" s="22"/>
      <c r="G35" s="22">
        <v>3648.58</v>
      </c>
      <c r="H35" s="22">
        <v>0</v>
      </c>
      <c r="I35" s="6"/>
      <c r="J35" s="24">
        <f t="shared" si="0"/>
        <v>3648.58</v>
      </c>
    </row>
    <row r="36" spans="1:10" ht="18" customHeight="1" x14ac:dyDescent="0.25">
      <c r="A36" s="48">
        <v>42801</v>
      </c>
      <c r="B36" s="31">
        <v>13268457</v>
      </c>
      <c r="C36" s="5"/>
      <c r="D36" s="21" t="s">
        <v>35</v>
      </c>
      <c r="E36" s="44">
        <v>592578</v>
      </c>
      <c r="F36" s="22"/>
      <c r="G36" s="22">
        <v>1782.42</v>
      </c>
      <c r="H36" s="22">
        <v>0</v>
      </c>
      <c r="I36" s="6"/>
      <c r="J36" s="24">
        <f t="shared" si="0"/>
        <v>1782.42</v>
      </c>
    </row>
    <row r="37" spans="1:10" ht="18" customHeight="1" x14ac:dyDescent="0.25">
      <c r="A37" s="48">
        <v>42801</v>
      </c>
      <c r="B37" s="31">
        <v>13268457</v>
      </c>
      <c r="C37" s="5"/>
      <c r="D37" s="21" t="s">
        <v>35</v>
      </c>
      <c r="E37" s="44">
        <v>592579</v>
      </c>
      <c r="F37" s="22"/>
      <c r="G37" s="22">
        <v>3218.35</v>
      </c>
      <c r="H37" s="22">
        <v>0</v>
      </c>
      <c r="I37" s="6"/>
      <c r="J37" s="24">
        <f t="shared" si="0"/>
        <v>3218.35</v>
      </c>
    </row>
    <row r="38" spans="1:10" ht="18" customHeight="1" x14ac:dyDescent="0.25">
      <c r="A38" s="48">
        <v>42801</v>
      </c>
      <c r="B38" s="31">
        <v>13268457</v>
      </c>
      <c r="C38" s="5"/>
      <c r="D38" s="21" t="s">
        <v>35</v>
      </c>
      <c r="E38" s="44">
        <v>592580</v>
      </c>
      <c r="F38" s="22"/>
      <c r="G38" s="22">
        <v>2242.87</v>
      </c>
      <c r="H38" s="22">
        <v>0</v>
      </c>
      <c r="I38" s="6"/>
      <c r="J38" s="24">
        <f t="shared" si="0"/>
        <v>2242.87</v>
      </c>
    </row>
    <row r="39" spans="1:10" ht="18" customHeight="1" x14ac:dyDescent="0.25">
      <c r="A39" s="48">
        <v>42796</v>
      </c>
      <c r="B39" s="31">
        <v>9617493</v>
      </c>
      <c r="C39" s="5"/>
      <c r="D39" s="21" t="s">
        <v>22</v>
      </c>
      <c r="E39" s="44">
        <v>592517</v>
      </c>
      <c r="F39" s="22"/>
      <c r="G39" s="22">
        <v>318.39999999999998</v>
      </c>
      <c r="H39" s="22">
        <v>0</v>
      </c>
      <c r="I39" s="6"/>
      <c r="J39" s="24">
        <f t="shared" si="0"/>
        <v>318.39999999999998</v>
      </c>
    </row>
    <row r="40" spans="1:10" ht="18" customHeight="1" x14ac:dyDescent="0.25">
      <c r="A40" s="48">
        <v>42801</v>
      </c>
      <c r="B40" s="31">
        <v>9617493</v>
      </c>
      <c r="C40" s="5"/>
      <c r="D40" s="21" t="s">
        <v>22</v>
      </c>
      <c r="E40" s="44">
        <v>592585</v>
      </c>
      <c r="F40" s="22"/>
      <c r="G40" s="22">
        <v>2428.37</v>
      </c>
      <c r="H40" s="22">
        <v>0</v>
      </c>
      <c r="I40" s="6"/>
      <c r="J40" s="24">
        <f t="shared" si="0"/>
        <v>2428.37</v>
      </c>
    </row>
    <row r="41" spans="1:10" ht="18" customHeight="1" x14ac:dyDescent="0.25">
      <c r="A41" s="48">
        <v>42803</v>
      </c>
      <c r="B41" s="31">
        <v>14877620</v>
      </c>
      <c r="C41" s="5"/>
      <c r="D41" s="21" t="s">
        <v>39</v>
      </c>
      <c r="E41" s="44">
        <v>592623</v>
      </c>
      <c r="F41" s="22"/>
      <c r="G41" s="22">
        <v>6013.16</v>
      </c>
      <c r="H41" s="22">
        <v>0</v>
      </c>
      <c r="I41" s="6"/>
      <c r="J41" s="24">
        <f t="shared" si="0"/>
        <v>6013.16</v>
      </c>
    </row>
    <row r="42" spans="1:10" ht="18" customHeight="1" x14ac:dyDescent="0.25">
      <c r="A42" s="48">
        <v>42800</v>
      </c>
      <c r="B42" s="31">
        <v>4609506</v>
      </c>
      <c r="C42" s="5"/>
      <c r="D42" s="21" t="s">
        <v>23</v>
      </c>
      <c r="E42" s="44">
        <v>592566</v>
      </c>
      <c r="F42" s="22"/>
      <c r="G42" s="22">
        <v>3070</v>
      </c>
      <c r="H42" s="22">
        <v>0</v>
      </c>
      <c r="I42" s="6"/>
      <c r="J42" s="24">
        <f t="shared" si="0"/>
        <v>3070</v>
      </c>
    </row>
    <row r="43" spans="1:10" ht="18" customHeight="1" x14ac:dyDescent="0.25">
      <c r="A43" s="48">
        <v>42803</v>
      </c>
      <c r="B43" s="31">
        <v>6573855</v>
      </c>
      <c r="C43" s="5"/>
      <c r="D43" s="21" t="s">
        <v>38</v>
      </c>
      <c r="E43" s="44">
        <v>592618</v>
      </c>
      <c r="F43" s="22"/>
      <c r="G43" s="22">
        <v>1180</v>
      </c>
      <c r="H43" s="22">
        <v>0</v>
      </c>
      <c r="I43" s="6"/>
      <c r="J43" s="24">
        <f t="shared" si="0"/>
        <v>1180</v>
      </c>
    </row>
    <row r="44" spans="1:10" ht="18" customHeight="1" x14ac:dyDescent="0.25">
      <c r="A44" s="48">
        <v>42810</v>
      </c>
      <c r="B44" s="31">
        <v>6575243</v>
      </c>
      <c r="C44" s="5"/>
      <c r="D44" s="21" t="s">
        <v>53</v>
      </c>
      <c r="E44" s="44">
        <v>592699</v>
      </c>
      <c r="F44" s="22"/>
      <c r="G44" s="22">
        <v>7297.16</v>
      </c>
      <c r="H44" s="22">
        <v>0</v>
      </c>
      <c r="I44" s="6"/>
      <c r="J44" s="24">
        <f t="shared" ref="J44:J69" si="1">G44+H44</f>
        <v>7297.16</v>
      </c>
    </row>
    <row r="45" spans="1:10" ht="18" customHeight="1" x14ac:dyDescent="0.25">
      <c r="A45" s="48">
        <v>42801</v>
      </c>
      <c r="B45" s="31">
        <v>7455429</v>
      </c>
      <c r="C45" s="5"/>
      <c r="D45" s="21" t="s">
        <v>34</v>
      </c>
      <c r="E45" s="44">
        <v>592575</v>
      </c>
      <c r="F45" s="22"/>
      <c r="G45" s="22">
        <v>3422.87</v>
      </c>
      <c r="H45" s="22">
        <v>0</v>
      </c>
      <c r="I45" s="6"/>
      <c r="J45" s="24">
        <f t="shared" si="1"/>
        <v>3422.87</v>
      </c>
    </row>
    <row r="46" spans="1:10" ht="18" customHeight="1" x14ac:dyDescent="0.25">
      <c r="A46" s="48">
        <v>42811</v>
      </c>
      <c r="B46" s="31">
        <v>15599929</v>
      </c>
      <c r="C46" s="5"/>
      <c r="D46" s="21" t="s">
        <v>54</v>
      </c>
      <c r="E46" s="44">
        <v>592731</v>
      </c>
      <c r="F46" s="22"/>
      <c r="G46" s="22">
        <v>1918.74</v>
      </c>
      <c r="H46" s="22">
        <v>0</v>
      </c>
      <c r="I46" s="6"/>
      <c r="J46" s="24">
        <f t="shared" si="1"/>
        <v>1918.74</v>
      </c>
    </row>
    <row r="47" spans="1:10" ht="18" customHeight="1" x14ac:dyDescent="0.25">
      <c r="A47" s="48">
        <v>42810</v>
      </c>
      <c r="B47" s="31">
        <v>9557875</v>
      </c>
      <c r="C47" s="5"/>
      <c r="D47" s="21" t="s">
        <v>51</v>
      </c>
      <c r="E47" s="44">
        <v>592715</v>
      </c>
      <c r="F47" s="22"/>
      <c r="G47" s="22">
        <v>1766.08</v>
      </c>
      <c r="H47" s="22">
        <v>144.63999999999999</v>
      </c>
      <c r="I47" s="6"/>
      <c r="J47" s="24">
        <f t="shared" si="1"/>
        <v>1910.7199999999998</v>
      </c>
    </row>
    <row r="48" spans="1:10" ht="18" customHeight="1" x14ac:dyDescent="0.25">
      <c r="A48" s="48">
        <v>42807</v>
      </c>
      <c r="B48" s="31">
        <v>10770124</v>
      </c>
      <c r="C48" s="5"/>
      <c r="D48" s="21" t="s">
        <v>46</v>
      </c>
      <c r="E48" s="44">
        <v>592661</v>
      </c>
      <c r="F48" s="22"/>
      <c r="G48" s="22">
        <v>4558.87</v>
      </c>
      <c r="H48" s="22">
        <v>0</v>
      </c>
      <c r="I48" s="6"/>
      <c r="J48" s="24">
        <f t="shared" si="1"/>
        <v>4558.87</v>
      </c>
    </row>
    <row r="49" spans="1:10" ht="18" customHeight="1" x14ac:dyDescent="0.25">
      <c r="A49" s="48">
        <v>42807</v>
      </c>
      <c r="B49" s="31">
        <v>10770124</v>
      </c>
      <c r="C49" s="5"/>
      <c r="D49" s="21" t="s">
        <v>46</v>
      </c>
      <c r="E49" s="44">
        <v>592662</v>
      </c>
      <c r="F49" s="22"/>
      <c r="G49" s="22">
        <v>3045.26</v>
      </c>
      <c r="H49" s="22">
        <v>85.71</v>
      </c>
      <c r="I49" s="6"/>
      <c r="J49" s="24">
        <f t="shared" si="1"/>
        <v>3130.9700000000003</v>
      </c>
    </row>
    <row r="50" spans="1:10" ht="18" customHeight="1" x14ac:dyDescent="0.25">
      <c r="A50" s="48">
        <v>42807</v>
      </c>
      <c r="B50" s="31">
        <v>10770124</v>
      </c>
      <c r="C50" s="5"/>
      <c r="D50" s="21" t="s">
        <v>46</v>
      </c>
      <c r="E50" s="44">
        <v>592663</v>
      </c>
      <c r="F50" s="22"/>
      <c r="G50" s="22">
        <v>5092.53</v>
      </c>
      <c r="H50" s="22">
        <v>0</v>
      </c>
      <c r="I50" s="6"/>
      <c r="J50" s="24">
        <f t="shared" si="1"/>
        <v>5092.53</v>
      </c>
    </row>
    <row r="51" spans="1:10" ht="18" customHeight="1" x14ac:dyDescent="0.25">
      <c r="A51" s="48">
        <v>42800</v>
      </c>
      <c r="B51" s="31">
        <v>3710064</v>
      </c>
      <c r="C51" s="5"/>
      <c r="D51" s="21" t="s">
        <v>32</v>
      </c>
      <c r="E51" s="44">
        <v>592550</v>
      </c>
      <c r="F51" s="22"/>
      <c r="G51" s="22">
        <v>3585</v>
      </c>
      <c r="H51" s="22">
        <v>0</v>
      </c>
      <c r="I51" s="6"/>
      <c r="J51" s="24">
        <f t="shared" si="1"/>
        <v>3585</v>
      </c>
    </row>
    <row r="52" spans="1:10" ht="18" customHeight="1" x14ac:dyDescent="0.25">
      <c r="A52" s="48">
        <v>42803</v>
      </c>
      <c r="B52" s="31">
        <v>4065648</v>
      </c>
      <c r="C52" s="5"/>
      <c r="D52" s="21" t="s">
        <v>62</v>
      </c>
      <c r="E52" s="44">
        <v>592615</v>
      </c>
      <c r="F52" s="22"/>
      <c r="G52" s="22">
        <v>1742.49</v>
      </c>
      <c r="H52" s="22">
        <v>0</v>
      </c>
      <c r="I52" s="6"/>
      <c r="J52" s="24">
        <f t="shared" si="1"/>
        <v>1742.49</v>
      </c>
    </row>
    <row r="53" spans="1:10" ht="18" customHeight="1" x14ac:dyDescent="0.25">
      <c r="A53" s="48">
        <v>42810</v>
      </c>
      <c r="B53" s="31">
        <v>17859921</v>
      </c>
      <c r="C53" s="5"/>
      <c r="D53" s="21" t="s">
        <v>63</v>
      </c>
      <c r="E53" s="44">
        <v>592708</v>
      </c>
      <c r="F53" s="22"/>
      <c r="G53" s="22">
        <v>2659.49</v>
      </c>
      <c r="H53" s="22">
        <v>0</v>
      </c>
      <c r="I53" s="6"/>
      <c r="J53" s="24">
        <f t="shared" si="1"/>
        <v>2659.49</v>
      </c>
    </row>
    <row r="54" spans="1:10" ht="18" customHeight="1" x14ac:dyDescent="0.25">
      <c r="A54" s="48">
        <v>42810</v>
      </c>
      <c r="B54" s="31">
        <v>17859921</v>
      </c>
      <c r="C54" s="5"/>
      <c r="D54" s="21" t="s">
        <v>63</v>
      </c>
      <c r="E54" s="44">
        <v>592709</v>
      </c>
      <c r="F54" s="22"/>
      <c r="G54" s="22">
        <v>4628.08</v>
      </c>
      <c r="H54" s="22">
        <v>0</v>
      </c>
      <c r="I54" s="6"/>
      <c r="J54" s="24">
        <f t="shared" si="1"/>
        <v>4628.08</v>
      </c>
    </row>
    <row r="55" spans="1:10" ht="18" customHeight="1" x14ac:dyDescent="0.25">
      <c r="A55" s="48">
        <v>42802</v>
      </c>
      <c r="B55" s="31">
        <v>2913757</v>
      </c>
      <c r="C55" s="5"/>
      <c r="D55" s="21" t="s">
        <v>36</v>
      </c>
      <c r="E55" s="44">
        <v>592591</v>
      </c>
      <c r="F55" s="22"/>
      <c r="G55" s="22">
        <v>2060.09</v>
      </c>
      <c r="H55" s="22">
        <v>0</v>
      </c>
      <c r="I55" s="6"/>
      <c r="J55" s="24">
        <f t="shared" si="1"/>
        <v>2060.09</v>
      </c>
    </row>
    <row r="56" spans="1:10" ht="18" customHeight="1" x14ac:dyDescent="0.25">
      <c r="A56" s="48">
        <v>42807</v>
      </c>
      <c r="B56" s="31">
        <v>2913757</v>
      </c>
      <c r="C56" s="5"/>
      <c r="D56" s="21" t="s">
        <v>43</v>
      </c>
      <c r="E56" s="44">
        <v>592654</v>
      </c>
      <c r="F56" s="22"/>
      <c r="G56" s="22">
        <v>6269.12</v>
      </c>
      <c r="H56" s="22">
        <v>0</v>
      </c>
      <c r="I56" s="6"/>
      <c r="J56" s="24">
        <f t="shared" si="1"/>
        <v>6269.12</v>
      </c>
    </row>
    <row r="57" spans="1:10" ht="18" customHeight="1" x14ac:dyDescent="0.25">
      <c r="A57" s="48">
        <v>42807</v>
      </c>
      <c r="B57" s="31">
        <v>2913757</v>
      </c>
      <c r="C57" s="5"/>
      <c r="D57" s="21" t="s">
        <v>43</v>
      </c>
      <c r="E57" s="44">
        <v>592655</v>
      </c>
      <c r="F57" s="22"/>
      <c r="G57" s="22">
        <v>5796.79</v>
      </c>
      <c r="H57" s="22">
        <v>0</v>
      </c>
      <c r="I57" s="6"/>
      <c r="J57" s="24">
        <f t="shared" si="1"/>
        <v>5796.79</v>
      </c>
    </row>
    <row r="58" spans="1:10" ht="18" customHeight="1" x14ac:dyDescent="0.25">
      <c r="A58" s="48">
        <v>42807</v>
      </c>
      <c r="B58" s="31">
        <v>2913757</v>
      </c>
      <c r="C58" s="5"/>
      <c r="D58" s="21" t="s">
        <v>43</v>
      </c>
      <c r="E58" s="44">
        <v>592656</v>
      </c>
      <c r="F58" s="22"/>
      <c r="G58" s="22">
        <v>2242.87</v>
      </c>
      <c r="H58" s="22">
        <v>0</v>
      </c>
      <c r="I58" s="6"/>
      <c r="J58" s="24">
        <f t="shared" si="1"/>
        <v>2242.87</v>
      </c>
    </row>
    <row r="59" spans="1:10" ht="18" customHeight="1" x14ac:dyDescent="0.25">
      <c r="A59" s="48">
        <v>42800</v>
      </c>
      <c r="B59" s="31">
        <v>5255641</v>
      </c>
      <c r="C59" s="5"/>
      <c r="D59" s="21" t="s">
        <v>33</v>
      </c>
      <c r="E59" s="44">
        <v>592549</v>
      </c>
      <c r="F59" s="22"/>
      <c r="G59" s="22">
        <v>1776.79</v>
      </c>
      <c r="H59" s="22">
        <v>213.21</v>
      </c>
      <c r="I59" s="6"/>
      <c r="J59" s="24">
        <f t="shared" si="1"/>
        <v>1990</v>
      </c>
    </row>
    <row r="60" spans="1:10" ht="18" customHeight="1" x14ac:dyDescent="0.25">
      <c r="A60" s="48">
        <v>42797</v>
      </c>
      <c r="B60" s="31">
        <v>2915780</v>
      </c>
      <c r="C60" s="5"/>
      <c r="D60" s="21" t="s">
        <v>25</v>
      </c>
      <c r="E60" s="44">
        <v>592540</v>
      </c>
      <c r="F60" s="22"/>
      <c r="G60" s="22">
        <v>10019.969999999999</v>
      </c>
      <c r="H60" s="22">
        <v>0</v>
      </c>
      <c r="I60" s="6"/>
      <c r="J60" s="24">
        <f t="shared" si="1"/>
        <v>10019.969999999999</v>
      </c>
    </row>
    <row r="61" spans="1:10" ht="18" customHeight="1" x14ac:dyDescent="0.25">
      <c r="A61" s="48">
        <v>42807</v>
      </c>
      <c r="B61" s="31">
        <v>17727473</v>
      </c>
      <c r="C61" s="5"/>
      <c r="D61" s="21" t="s">
        <v>45</v>
      </c>
      <c r="E61" s="44">
        <v>592660</v>
      </c>
      <c r="F61" s="22"/>
      <c r="G61" s="22">
        <v>5147.01</v>
      </c>
      <c r="H61" s="22">
        <v>0</v>
      </c>
      <c r="I61" s="6"/>
      <c r="J61" s="24">
        <f t="shared" si="1"/>
        <v>5147.01</v>
      </c>
    </row>
    <row r="62" spans="1:10" ht="18" customHeight="1" x14ac:dyDescent="0.25">
      <c r="A62" s="48">
        <v>42800</v>
      </c>
      <c r="B62" s="31">
        <v>11633896</v>
      </c>
      <c r="C62" s="5"/>
      <c r="D62" s="21" t="s">
        <v>29</v>
      </c>
      <c r="E62" s="44">
        <v>592559</v>
      </c>
      <c r="F62" s="22"/>
      <c r="G62" s="22">
        <v>1176</v>
      </c>
      <c r="H62" s="22">
        <v>0</v>
      </c>
      <c r="I62" s="6"/>
      <c r="J62" s="24">
        <f t="shared" si="1"/>
        <v>1176</v>
      </c>
    </row>
    <row r="63" spans="1:10" ht="18" customHeight="1" x14ac:dyDescent="0.25">
      <c r="A63" s="48">
        <v>42809</v>
      </c>
      <c r="B63" s="31">
        <v>9607091</v>
      </c>
      <c r="C63" s="5"/>
      <c r="D63" s="21" t="s">
        <v>49</v>
      </c>
      <c r="E63" s="44">
        <v>592690</v>
      </c>
      <c r="F63" s="22"/>
      <c r="G63" s="22">
        <v>3981.52</v>
      </c>
      <c r="H63" s="22">
        <v>0</v>
      </c>
      <c r="I63" s="6"/>
      <c r="J63" s="24">
        <f t="shared" si="1"/>
        <v>3981.52</v>
      </c>
    </row>
    <row r="64" spans="1:10" ht="18" customHeight="1" x14ac:dyDescent="0.25">
      <c r="A64" s="48">
        <v>42804</v>
      </c>
      <c r="B64" s="31">
        <v>10848158</v>
      </c>
      <c r="C64" s="5"/>
      <c r="D64" s="21" t="s">
        <v>42</v>
      </c>
      <c r="E64" s="44">
        <v>592651</v>
      </c>
      <c r="F64" s="22"/>
      <c r="G64" s="22">
        <v>5241.38</v>
      </c>
      <c r="H64" s="22">
        <v>0</v>
      </c>
      <c r="I64" s="6"/>
      <c r="J64" s="24">
        <f t="shared" si="1"/>
        <v>5241.38</v>
      </c>
    </row>
    <row r="65" spans="1:10" ht="18" customHeight="1" x14ac:dyDescent="0.25">
      <c r="A65" s="48">
        <v>42800</v>
      </c>
      <c r="B65" s="31">
        <v>16137706</v>
      </c>
      <c r="C65" s="5"/>
      <c r="D65" s="21" t="s">
        <v>31</v>
      </c>
      <c r="E65" s="44">
        <v>592551</v>
      </c>
      <c r="F65" s="22"/>
      <c r="G65" s="22">
        <v>3317.73</v>
      </c>
      <c r="H65" s="22">
        <v>0</v>
      </c>
      <c r="I65" s="6"/>
      <c r="J65" s="24">
        <f t="shared" si="1"/>
        <v>3317.73</v>
      </c>
    </row>
    <row r="66" spans="1:10" ht="18" customHeight="1" x14ac:dyDescent="0.25">
      <c r="A66" s="48">
        <v>42809</v>
      </c>
      <c r="B66" s="31">
        <v>10774121</v>
      </c>
      <c r="C66" s="5"/>
      <c r="D66" s="21" t="s">
        <v>64</v>
      </c>
      <c r="E66" s="44">
        <v>592688</v>
      </c>
      <c r="F66" s="22"/>
      <c r="G66" s="22">
        <v>9778.31</v>
      </c>
      <c r="H66" s="22">
        <v>0</v>
      </c>
      <c r="I66" s="6"/>
      <c r="J66" s="24">
        <f t="shared" si="1"/>
        <v>9778.31</v>
      </c>
    </row>
    <row r="67" spans="1:10" ht="18" customHeight="1" x14ac:dyDescent="0.25">
      <c r="A67" s="48">
        <v>42800</v>
      </c>
      <c r="B67" s="31">
        <v>12249178</v>
      </c>
      <c r="C67" s="5"/>
      <c r="D67" s="21" t="s">
        <v>30</v>
      </c>
      <c r="E67" s="44">
        <v>592556</v>
      </c>
      <c r="F67" s="22"/>
      <c r="G67" s="22">
        <v>3071.95</v>
      </c>
      <c r="H67" s="22">
        <v>0</v>
      </c>
      <c r="I67" s="6"/>
      <c r="J67" s="24">
        <f t="shared" si="1"/>
        <v>3071.95</v>
      </c>
    </row>
    <row r="68" spans="1:10" ht="18" customHeight="1" x14ac:dyDescent="0.25">
      <c r="A68" s="48">
        <v>42800</v>
      </c>
      <c r="B68" s="31">
        <v>12249178</v>
      </c>
      <c r="C68" s="5"/>
      <c r="D68" s="21" t="s">
        <v>30</v>
      </c>
      <c r="E68" s="44">
        <v>592557</v>
      </c>
      <c r="F68" s="22"/>
      <c r="G68" s="22">
        <v>4053.28</v>
      </c>
      <c r="H68" s="22">
        <v>194.97</v>
      </c>
      <c r="I68" s="6"/>
      <c r="J68" s="24">
        <f t="shared" si="1"/>
        <v>4248.25</v>
      </c>
    </row>
    <row r="69" spans="1:10" ht="18" customHeight="1" x14ac:dyDescent="0.25">
      <c r="A69" s="48">
        <v>42810</v>
      </c>
      <c r="B69" s="31">
        <v>11749469</v>
      </c>
      <c r="C69" s="5"/>
      <c r="D69" s="21" t="s">
        <v>52</v>
      </c>
      <c r="E69" s="44">
        <v>592710</v>
      </c>
      <c r="F69" s="22"/>
      <c r="G69" s="22">
        <v>5311</v>
      </c>
      <c r="H69" s="22">
        <v>0</v>
      </c>
      <c r="I69" s="6"/>
      <c r="J69" s="24">
        <f t="shared" si="1"/>
        <v>5311</v>
      </c>
    </row>
    <row r="70" spans="1:10" ht="18" customHeight="1" x14ac:dyDescent="0.25">
      <c r="D70" s="56" t="s">
        <v>18</v>
      </c>
      <c r="E70" s="57"/>
      <c r="F70" s="29"/>
      <c r="G70" s="28">
        <f>SUM(G12:G69)</f>
        <v>221876.19999999998</v>
      </c>
      <c r="H70" s="28">
        <f>SUM(H12:H69)</f>
        <v>1972.4400000000003</v>
      </c>
      <c r="I70" s="32">
        <v>0</v>
      </c>
      <c r="J70" s="30">
        <f>SUM(J12:J69)</f>
        <v>223848.63999999998</v>
      </c>
    </row>
    <row r="71" spans="1:10" ht="18" customHeight="1" x14ac:dyDescent="0.25">
      <c r="D71" s="18"/>
      <c r="E71" s="37"/>
      <c r="F71" s="20"/>
      <c r="G71" s="19"/>
      <c r="H71" s="37"/>
      <c r="I71" s="17"/>
      <c r="J71" s="25"/>
    </row>
    <row r="72" spans="1:10" ht="20.100000000000001" customHeight="1" x14ac:dyDescent="0.25">
      <c r="D72" s="58" t="s">
        <v>19</v>
      </c>
      <c r="E72" s="58"/>
      <c r="F72" s="42"/>
      <c r="G72" s="59">
        <f>J70</f>
        <v>223848.63999999998</v>
      </c>
      <c r="H72" s="39"/>
      <c r="J72" s="25"/>
    </row>
    <row r="73" spans="1:10" ht="20.100000000000001" customHeight="1" x14ac:dyDescent="0.25">
      <c r="D73" s="58"/>
      <c r="E73" s="58"/>
      <c r="F73" s="42"/>
      <c r="G73" s="59"/>
      <c r="H73" s="39"/>
      <c r="J73" s="25"/>
    </row>
    <row r="74" spans="1:10" ht="20.100000000000001" customHeight="1" x14ac:dyDescent="0.25">
      <c r="A74" s="15"/>
      <c r="B74" s="43"/>
      <c r="C74" s="15"/>
      <c r="D74" s="40"/>
      <c r="E74" s="40"/>
      <c r="F74" s="40"/>
      <c r="G74" s="39"/>
      <c r="H74" s="39"/>
      <c r="J74" s="25"/>
    </row>
    <row r="75" spans="1:10" ht="20.100000000000001" customHeight="1" x14ac:dyDescent="0.25">
      <c r="A75" s="15"/>
      <c r="B75" s="43"/>
      <c r="C75" s="15"/>
      <c r="D75" s="40"/>
      <c r="E75" s="40"/>
      <c r="F75" s="40"/>
      <c r="G75" s="39"/>
      <c r="H75" s="39"/>
      <c r="J75" s="25"/>
    </row>
    <row r="76" spans="1:10" x14ac:dyDescent="0.25">
      <c r="B76" s="49" t="s">
        <v>9</v>
      </c>
      <c r="C76" s="49"/>
      <c r="D76" s="49"/>
      <c r="E76" s="53" t="s">
        <v>10</v>
      </c>
      <c r="F76" s="53"/>
      <c r="G76" s="53"/>
      <c r="H76" s="53"/>
      <c r="I76" s="2">
        <v>0</v>
      </c>
    </row>
    <row r="77" spans="1:10" x14ac:dyDescent="0.25">
      <c r="B77" s="12"/>
      <c r="C77" s="13"/>
      <c r="D77" s="13"/>
      <c r="E77" s="54"/>
      <c r="F77" s="54"/>
      <c r="G77" s="54"/>
      <c r="H77" s="54"/>
      <c r="I77" s="2">
        <v>0</v>
      </c>
    </row>
    <row r="78" spans="1:10" x14ac:dyDescent="0.25">
      <c r="B78" s="12"/>
      <c r="C78" s="13"/>
      <c r="D78" s="13"/>
      <c r="E78" s="54"/>
      <c r="F78" s="54"/>
      <c r="G78" s="54"/>
      <c r="H78" s="54"/>
      <c r="I78" s="2"/>
    </row>
    <row r="79" spans="1:10" x14ac:dyDescent="0.25">
      <c r="B79" s="14"/>
      <c r="C79" s="15"/>
      <c r="D79" s="16"/>
      <c r="E79" s="54"/>
      <c r="F79" s="54"/>
      <c r="G79" s="54"/>
      <c r="H79" s="54"/>
      <c r="I79" s="2">
        <v>0</v>
      </c>
    </row>
    <row r="80" spans="1:10" x14ac:dyDescent="0.25">
      <c r="B80" s="50" t="s">
        <v>16</v>
      </c>
      <c r="C80" s="51"/>
      <c r="D80" s="52"/>
      <c r="E80" s="55" t="s">
        <v>15</v>
      </c>
      <c r="F80" s="55"/>
      <c r="G80" s="55"/>
      <c r="H80" s="55"/>
      <c r="I80" s="2">
        <v>0</v>
      </c>
    </row>
    <row r="81" spans="9:9" x14ac:dyDescent="0.25">
      <c r="I81" s="2">
        <v>0</v>
      </c>
    </row>
    <row r="82" spans="9:9" x14ac:dyDescent="0.25">
      <c r="I82" s="2">
        <v>0</v>
      </c>
    </row>
  </sheetData>
  <sortState ref="D8:K42">
    <sortCondition ref="D8"/>
  </sortState>
  <mergeCells count="15">
    <mergeCell ref="D70:E70"/>
    <mergeCell ref="D72:E73"/>
    <mergeCell ref="G72:G73"/>
    <mergeCell ref="A9:J9"/>
    <mergeCell ref="A1:J1"/>
    <mergeCell ref="A2:J2"/>
    <mergeCell ref="A3:J3"/>
    <mergeCell ref="A7:J7"/>
    <mergeCell ref="A8:J8"/>
    <mergeCell ref="A4:J4"/>
    <mergeCell ref="B76:D76"/>
    <mergeCell ref="B80:D80"/>
    <mergeCell ref="E76:H76"/>
    <mergeCell ref="E77:H79"/>
    <mergeCell ref="E80:H80"/>
  </mergeCells>
  <printOptions horizontalCentered="1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workbookViewId="0">
      <selection activeCell="J15" sqref="J15"/>
    </sheetView>
  </sheetViews>
  <sheetFormatPr baseColWidth="10" defaultRowHeight="15" x14ac:dyDescent="0.25"/>
  <cols>
    <col min="1" max="1" width="17.140625" customWidth="1"/>
    <col min="2" max="2" width="28.28515625" bestFit="1" customWidth="1"/>
    <col min="9" max="9" width="11.42578125" style="46"/>
  </cols>
  <sheetData>
    <row r="1" spans="1:8" x14ac:dyDescent="0.25">
      <c r="A1" t="str">
        <f>CONCATENATE("V",CAPPO!B12)</f>
        <v>V10784623</v>
      </c>
      <c r="B1" s="33" t="str">
        <f>+CAPPO!D12</f>
        <v>ALVARADO  RAMON</v>
      </c>
      <c r="C1">
        <f>+CAPPO!J12</f>
        <v>3293.02</v>
      </c>
      <c r="D1">
        <v>0</v>
      </c>
      <c r="E1" s="33">
        <f>+C1</f>
        <v>3293.02</v>
      </c>
      <c r="G1" s="33"/>
      <c r="H1" s="34"/>
    </row>
    <row r="2" spans="1:8" x14ac:dyDescent="0.25">
      <c r="A2" t="str">
        <f>CONCATENATE("V",CAPPO!B13)</f>
        <v>V10784623</v>
      </c>
      <c r="B2" s="33" t="str">
        <f>+CAPPO!D13</f>
        <v>ALVARADO  RAMON</v>
      </c>
      <c r="C2">
        <f>+CAPPO!J13</f>
        <v>2090.7199999999998</v>
      </c>
      <c r="D2">
        <v>0</v>
      </c>
      <c r="E2" s="33">
        <f t="shared" ref="E2:E58" si="0">+C2</f>
        <v>2090.7199999999998</v>
      </c>
      <c r="G2" s="33"/>
      <c r="H2" s="34"/>
    </row>
    <row r="3" spans="1:8" x14ac:dyDescent="0.25">
      <c r="A3" t="str">
        <f>CONCATENATE("V",CAPPO!B14)</f>
        <v>V7388125</v>
      </c>
      <c r="B3" s="33" t="str">
        <f>+CAPPO!D14</f>
        <v>ALVAREZ JAIME</v>
      </c>
      <c r="C3">
        <f>+CAPPO!J14</f>
        <v>899.06</v>
      </c>
      <c r="D3">
        <v>0</v>
      </c>
      <c r="E3" s="33">
        <f t="shared" si="0"/>
        <v>899.06</v>
      </c>
      <c r="H3" s="34"/>
    </row>
    <row r="4" spans="1:8" x14ac:dyDescent="0.25">
      <c r="A4" t="str">
        <f>CONCATENATE("V",CAPPO!B15)</f>
        <v>V18785684</v>
      </c>
      <c r="B4" s="33" t="str">
        <f>+CAPPO!D15</f>
        <v>ALVAREZ NINOSKA</v>
      </c>
      <c r="C4">
        <f>+CAPPO!J15</f>
        <v>5383.93</v>
      </c>
      <c r="D4">
        <v>0</v>
      </c>
      <c r="E4" s="33">
        <f t="shared" si="0"/>
        <v>5383.93</v>
      </c>
      <c r="G4" s="33"/>
      <c r="H4" s="34"/>
    </row>
    <row r="5" spans="1:8" x14ac:dyDescent="0.25">
      <c r="A5" t="str">
        <f>CONCATENATE("V",CAPPO!B16)</f>
        <v>V7410177</v>
      </c>
      <c r="B5" s="33" t="str">
        <f>+CAPPO!D16</f>
        <v>APOSTOL RUIZ LUIS</v>
      </c>
      <c r="C5">
        <f>+CAPPO!J16</f>
        <v>9429.9699999999993</v>
      </c>
      <c r="D5">
        <v>0</v>
      </c>
      <c r="E5" s="33">
        <f t="shared" si="0"/>
        <v>9429.9699999999993</v>
      </c>
      <c r="G5" s="33"/>
      <c r="H5" s="34"/>
    </row>
    <row r="6" spans="1:8" x14ac:dyDescent="0.25">
      <c r="A6" t="str">
        <f>CONCATENATE("V",CAPPO!B17)</f>
        <v>V13774684</v>
      </c>
      <c r="B6" s="33" t="str">
        <f>+CAPPO!D17</f>
        <v>AZUAJE  ALEXANDER</v>
      </c>
      <c r="C6">
        <f>+CAPPO!J17</f>
        <v>9429.9699999999993</v>
      </c>
      <c r="D6">
        <v>0</v>
      </c>
      <c r="E6" s="33">
        <f t="shared" si="0"/>
        <v>9429.9699999999993</v>
      </c>
      <c r="G6" s="33"/>
      <c r="H6" s="34"/>
    </row>
    <row r="7" spans="1:8" x14ac:dyDescent="0.25">
      <c r="A7" t="str">
        <f>CONCATENATE("V",CAPPO!B18)</f>
        <v>V7316607</v>
      </c>
      <c r="B7" s="33" t="str">
        <f>+CAPPO!D18</f>
        <v>CHAVEZ COLMENAREZ MARIA</v>
      </c>
      <c r="C7">
        <f>+CAPPO!J18</f>
        <v>3141.43</v>
      </c>
      <c r="D7">
        <v>0</v>
      </c>
      <c r="E7" s="33">
        <f t="shared" si="0"/>
        <v>3141.43</v>
      </c>
      <c r="G7" s="33"/>
      <c r="H7" s="34"/>
    </row>
    <row r="8" spans="1:8" x14ac:dyDescent="0.25">
      <c r="A8" t="str">
        <f>CONCATENATE("V",CAPPO!B19)</f>
        <v>V7446644</v>
      </c>
      <c r="B8" s="33" t="str">
        <f>+CAPPO!D19</f>
        <v>CHIRINOS CARLOS GREGORIO</v>
      </c>
      <c r="C8">
        <f>+CAPPO!J19</f>
        <v>1160.94</v>
      </c>
      <c r="D8">
        <v>0</v>
      </c>
      <c r="E8" s="33">
        <f t="shared" si="0"/>
        <v>1160.94</v>
      </c>
      <c r="G8" s="33"/>
      <c r="H8" s="34"/>
    </row>
    <row r="9" spans="1:8" x14ac:dyDescent="0.25">
      <c r="A9" t="str">
        <f>CONCATENATE("V",CAPPO!B20)</f>
        <v>V7310425</v>
      </c>
      <c r="B9" s="33" t="str">
        <f>+CAPPO!D20</f>
        <v>COLMENAREZ PALMA MIGUEL</v>
      </c>
      <c r="C9">
        <f>+CAPPO!J20</f>
        <v>5796.79</v>
      </c>
      <c r="D9">
        <v>0</v>
      </c>
      <c r="E9" s="33">
        <f t="shared" si="0"/>
        <v>5796.79</v>
      </c>
      <c r="G9" s="33"/>
      <c r="H9" s="34"/>
    </row>
    <row r="10" spans="1:8" x14ac:dyDescent="0.25">
      <c r="A10" t="str">
        <f>CONCATENATE("V",CAPPO!B21)</f>
        <v>V14143188</v>
      </c>
      <c r="B10" s="33" t="str">
        <f>+CAPPO!D21</f>
        <v>ESCALONA OVIEDO CARLOLUIS</v>
      </c>
      <c r="C10">
        <f>+CAPPO!J21</f>
        <v>2521.31</v>
      </c>
      <c r="D10">
        <v>0</v>
      </c>
      <c r="E10" s="33">
        <f t="shared" si="0"/>
        <v>2521.31</v>
      </c>
      <c r="G10" s="33"/>
      <c r="H10" s="34"/>
    </row>
    <row r="11" spans="1:8" x14ac:dyDescent="0.25">
      <c r="A11" t="str">
        <f>CONCATENATE("V",CAPPO!B22)</f>
        <v>V11267811</v>
      </c>
      <c r="B11" s="33" t="str">
        <f>+CAPPO!D22</f>
        <v>FLORES JOSE GREGORIO</v>
      </c>
      <c r="C11">
        <f>+CAPPO!J22</f>
        <v>1714.11</v>
      </c>
      <c r="D11">
        <v>0</v>
      </c>
      <c r="E11" s="33">
        <f t="shared" si="0"/>
        <v>1714.11</v>
      </c>
      <c r="G11" s="33"/>
      <c r="H11" s="34"/>
    </row>
    <row r="12" spans="1:8" x14ac:dyDescent="0.25">
      <c r="A12" t="str">
        <f>CONCATENATE("V",CAPPO!B23)</f>
        <v>V11267811</v>
      </c>
      <c r="B12" s="33" t="str">
        <f>+CAPPO!D23</f>
        <v>FLORES JOSE GREGORIO</v>
      </c>
      <c r="C12">
        <f>+CAPPO!J23</f>
        <v>2043.11</v>
      </c>
      <c r="D12">
        <v>0</v>
      </c>
      <c r="E12" s="33">
        <f t="shared" si="0"/>
        <v>2043.11</v>
      </c>
      <c r="G12" s="33"/>
      <c r="H12" s="34"/>
    </row>
    <row r="13" spans="1:8" x14ac:dyDescent="0.25">
      <c r="A13" t="str">
        <f>CONCATENATE("V",CAPPO!B24)</f>
        <v>V21140944</v>
      </c>
      <c r="B13" s="33" t="str">
        <f>+CAPPO!D24</f>
        <v>GARCIA JOHAN</v>
      </c>
      <c r="C13">
        <f>+CAPPO!J24</f>
        <v>3930.71</v>
      </c>
      <c r="D13">
        <v>0</v>
      </c>
      <c r="E13" s="33">
        <f t="shared" si="0"/>
        <v>3930.71</v>
      </c>
      <c r="G13" s="33"/>
      <c r="H13" s="34"/>
    </row>
    <row r="14" spans="1:8" x14ac:dyDescent="0.25">
      <c r="A14" t="str">
        <f>CONCATENATE("V",CAPPO!B25)</f>
        <v>V7309375</v>
      </c>
      <c r="B14" s="33" t="str">
        <f>+CAPPO!D25</f>
        <v>GUERRA  JOSE</v>
      </c>
      <c r="C14">
        <f>+CAPPO!J25</f>
        <v>1397.67</v>
      </c>
      <c r="D14">
        <v>0</v>
      </c>
      <c r="E14" s="33">
        <f t="shared" si="0"/>
        <v>1397.67</v>
      </c>
      <c r="G14" s="33"/>
      <c r="H14" s="34"/>
    </row>
    <row r="15" spans="1:8" x14ac:dyDescent="0.25">
      <c r="A15" t="str">
        <f>CONCATENATE("V",CAPPO!B26)</f>
        <v>V13188137</v>
      </c>
      <c r="B15" s="33" t="str">
        <f>+CAPPO!D26</f>
        <v>HERNANDEZ HECTOR</v>
      </c>
      <c r="C15">
        <f>+CAPPO!J26</f>
        <v>4266.34</v>
      </c>
      <c r="D15">
        <v>0</v>
      </c>
      <c r="E15" s="33">
        <f t="shared" si="0"/>
        <v>4266.34</v>
      </c>
      <c r="G15" s="33"/>
      <c r="H15" s="34"/>
    </row>
    <row r="16" spans="1:8" x14ac:dyDescent="0.25">
      <c r="A16" t="str">
        <f>CONCATENATE("V",CAPPO!B27)</f>
        <v>V13188137</v>
      </c>
      <c r="B16" s="33" t="str">
        <f>+CAPPO!D27</f>
        <v>HERNANDEZ HECTOR</v>
      </c>
      <c r="C16">
        <f>+CAPPO!J27</f>
        <v>2795.71</v>
      </c>
      <c r="D16">
        <v>0</v>
      </c>
      <c r="E16" s="33">
        <f t="shared" si="0"/>
        <v>2795.71</v>
      </c>
      <c r="G16" s="33"/>
      <c r="H16" s="34"/>
    </row>
    <row r="17" spans="1:8" x14ac:dyDescent="0.25">
      <c r="A17" t="str">
        <f>CONCATENATE("V",CAPPO!B28)</f>
        <v>V13188137</v>
      </c>
      <c r="B17" s="33" t="str">
        <f>+CAPPO!D28</f>
        <v>HERNANDEZ HECTOR</v>
      </c>
      <c r="C17">
        <f>+CAPPO!J28</f>
        <v>3963.0099999999998</v>
      </c>
      <c r="D17">
        <v>0</v>
      </c>
      <c r="E17" s="33">
        <f t="shared" si="0"/>
        <v>3963.0099999999998</v>
      </c>
      <c r="G17" s="33"/>
      <c r="H17" s="34"/>
    </row>
    <row r="18" spans="1:8" x14ac:dyDescent="0.25">
      <c r="A18" t="str">
        <f>CONCATENATE("V",CAPPO!B29)</f>
        <v>V14372818</v>
      </c>
      <c r="B18" s="33" t="str">
        <f>+CAPPO!D29</f>
        <v>LINAREZ ADARFIO CARMELO</v>
      </c>
      <c r="C18">
        <f>+CAPPO!J29</f>
        <v>2895.27</v>
      </c>
      <c r="D18">
        <v>0</v>
      </c>
      <c r="E18" s="33">
        <f t="shared" si="0"/>
        <v>2895.27</v>
      </c>
      <c r="G18" s="33"/>
      <c r="H18" s="34"/>
    </row>
    <row r="19" spans="1:8" x14ac:dyDescent="0.25">
      <c r="A19" t="str">
        <f>CONCATENATE("V",CAPPO!B30)</f>
        <v>V14372818</v>
      </c>
      <c r="B19" s="33" t="str">
        <f>+CAPPO!D30</f>
        <v>LINAREZ ADARFIO CARMELO</v>
      </c>
      <c r="C19">
        <f>+CAPPO!J30</f>
        <v>3335.0099999999998</v>
      </c>
      <c r="D19">
        <v>0</v>
      </c>
      <c r="E19" s="33">
        <f t="shared" si="0"/>
        <v>3335.0099999999998</v>
      </c>
      <c r="G19" s="33"/>
      <c r="H19" s="34"/>
    </row>
    <row r="20" spans="1:8" x14ac:dyDescent="0.25">
      <c r="A20" t="str">
        <f>CONCATENATE("V",CAPPO!B31)</f>
        <v>V14372818</v>
      </c>
      <c r="B20" s="33" t="str">
        <f>+CAPPO!D31</f>
        <v>LINAREZ ADARFIO CARMELO</v>
      </c>
      <c r="C20">
        <f>+CAPPO!J31</f>
        <v>9210</v>
      </c>
      <c r="D20">
        <v>0</v>
      </c>
      <c r="E20" s="33">
        <f t="shared" si="0"/>
        <v>9210</v>
      </c>
      <c r="G20" s="33"/>
      <c r="H20" s="34"/>
    </row>
    <row r="21" spans="1:8" x14ac:dyDescent="0.25">
      <c r="A21" t="str">
        <f>CONCATENATE("V",CAPPO!B32)</f>
        <v>V11429792</v>
      </c>
      <c r="B21" s="33" t="str">
        <f>+CAPPO!D32</f>
        <v>MADRIZ C. GIOVANNY</v>
      </c>
      <c r="C21">
        <f>+CAPPO!J32</f>
        <v>2459.8500000000004</v>
      </c>
      <c r="D21">
        <v>0</v>
      </c>
      <c r="E21" s="33">
        <f t="shared" si="0"/>
        <v>2459.8500000000004</v>
      </c>
      <c r="G21" s="33"/>
      <c r="H21" s="34"/>
    </row>
    <row r="22" spans="1:8" x14ac:dyDescent="0.25">
      <c r="A22" t="str">
        <f>CONCATENATE("V",CAPPO!B33)</f>
        <v>V12018571</v>
      </c>
      <c r="B22" s="33" t="str">
        <f>+CAPPO!D33</f>
        <v>MARQUEZ JOSE LUIS</v>
      </c>
      <c r="C22">
        <f>+CAPPO!J33</f>
        <v>5320</v>
      </c>
      <c r="D22">
        <v>0</v>
      </c>
      <c r="E22" s="33">
        <f t="shared" si="0"/>
        <v>5320</v>
      </c>
      <c r="G22" s="33"/>
      <c r="H22" s="34"/>
    </row>
    <row r="23" spans="1:8" x14ac:dyDescent="0.25">
      <c r="A23" t="str">
        <f>CONCATENATE("V",CAPPO!B34)</f>
        <v>V12018571</v>
      </c>
      <c r="B23" s="33" t="str">
        <f>+CAPPO!D34</f>
        <v>MARQUEZ JOSE LUIS</v>
      </c>
      <c r="C23">
        <f>+CAPPO!J34</f>
        <v>3869.65</v>
      </c>
      <c r="D23">
        <v>0</v>
      </c>
      <c r="E23" s="33">
        <f t="shared" si="0"/>
        <v>3869.65</v>
      </c>
      <c r="G23" s="33"/>
      <c r="H23" s="34"/>
    </row>
    <row r="24" spans="1:8" x14ac:dyDescent="0.25">
      <c r="A24" t="str">
        <f>CONCATENATE("V",CAPPO!B35)</f>
        <v>V5248954</v>
      </c>
      <c r="B24" s="33" t="str">
        <f>+CAPPO!D35</f>
        <v>MARTINEZ JOSE</v>
      </c>
      <c r="C24">
        <f>+CAPPO!J35</f>
        <v>3648.58</v>
      </c>
      <c r="D24">
        <v>0</v>
      </c>
      <c r="E24" s="33">
        <f t="shared" si="0"/>
        <v>3648.58</v>
      </c>
      <c r="G24" s="33"/>
      <c r="H24" s="34"/>
    </row>
    <row r="25" spans="1:8" x14ac:dyDescent="0.25">
      <c r="A25" t="str">
        <f>CONCATENATE("V",CAPPO!B36)</f>
        <v>V13268457</v>
      </c>
      <c r="B25" s="33" t="str">
        <f>+CAPPO!D36</f>
        <v>MAVARE PEREZ LISBETH</v>
      </c>
      <c r="C25">
        <f>+CAPPO!J36</f>
        <v>1782.42</v>
      </c>
      <c r="D25">
        <v>0</v>
      </c>
      <c r="E25" s="33">
        <f t="shared" si="0"/>
        <v>1782.42</v>
      </c>
      <c r="G25" s="33"/>
      <c r="H25" s="34"/>
    </row>
    <row r="26" spans="1:8" x14ac:dyDescent="0.25">
      <c r="A26" t="str">
        <f>CONCATENATE("V",CAPPO!B37)</f>
        <v>V13268457</v>
      </c>
      <c r="B26" s="33" t="str">
        <f>+CAPPO!D37</f>
        <v>MAVARE PEREZ LISBETH</v>
      </c>
      <c r="C26">
        <f>+CAPPO!J37</f>
        <v>3218.35</v>
      </c>
      <c r="D26">
        <v>0</v>
      </c>
      <c r="E26" s="33">
        <f t="shared" si="0"/>
        <v>3218.35</v>
      </c>
      <c r="G26" s="33"/>
      <c r="H26" s="34"/>
    </row>
    <row r="27" spans="1:8" x14ac:dyDescent="0.25">
      <c r="A27" t="str">
        <f>CONCATENATE("V",CAPPO!B38)</f>
        <v>V13268457</v>
      </c>
      <c r="B27" s="33" t="str">
        <f>+CAPPO!D38</f>
        <v>MAVARE PEREZ LISBETH</v>
      </c>
      <c r="C27">
        <f>+CAPPO!J38</f>
        <v>2242.87</v>
      </c>
      <c r="D27">
        <v>0</v>
      </c>
      <c r="E27" s="33">
        <f t="shared" si="0"/>
        <v>2242.87</v>
      </c>
      <c r="G27" s="33"/>
      <c r="H27" s="34"/>
    </row>
    <row r="28" spans="1:8" x14ac:dyDescent="0.25">
      <c r="A28" t="str">
        <f>CONCATENATE("V",CAPPO!B39)</f>
        <v>V9617493</v>
      </c>
      <c r="B28" s="33" t="str">
        <f>+CAPPO!D39</f>
        <v>MENDEZ MARLENE</v>
      </c>
      <c r="C28">
        <f>+CAPPO!J39</f>
        <v>318.39999999999998</v>
      </c>
      <c r="D28">
        <v>0</v>
      </c>
      <c r="E28" s="33">
        <f t="shared" si="0"/>
        <v>318.39999999999998</v>
      </c>
      <c r="H28" s="34"/>
    </row>
    <row r="29" spans="1:8" x14ac:dyDescent="0.25">
      <c r="A29" t="str">
        <f>CONCATENATE("V",CAPPO!B40)</f>
        <v>V9617493</v>
      </c>
      <c r="B29" s="33" t="str">
        <f>+CAPPO!D40</f>
        <v>MENDEZ MARLENE</v>
      </c>
      <c r="C29">
        <f>+CAPPO!J40</f>
        <v>2428.37</v>
      </c>
      <c r="D29">
        <v>0</v>
      </c>
      <c r="E29" s="33">
        <f t="shared" si="0"/>
        <v>2428.37</v>
      </c>
      <c r="G29" s="33"/>
      <c r="H29" s="34"/>
    </row>
    <row r="30" spans="1:8" x14ac:dyDescent="0.25">
      <c r="A30" t="str">
        <f>CONCATENATE("V",CAPPO!B41)</f>
        <v>V14877620</v>
      </c>
      <c r="B30" s="33" t="str">
        <f>+CAPPO!D41</f>
        <v>MENDOZA TUA IGNACIO</v>
      </c>
      <c r="C30">
        <f>+CAPPO!J41</f>
        <v>6013.16</v>
      </c>
      <c r="D30">
        <v>0</v>
      </c>
      <c r="E30" s="33">
        <f t="shared" si="0"/>
        <v>6013.16</v>
      </c>
      <c r="G30" s="33"/>
      <c r="H30" s="34"/>
    </row>
    <row r="31" spans="1:8" x14ac:dyDescent="0.25">
      <c r="A31" t="str">
        <f>CONCATENATE("V",CAPPO!B42)</f>
        <v>V4609506</v>
      </c>
      <c r="B31" s="33" t="str">
        <f>+CAPPO!D42</f>
        <v>PEREIRA  PEDRO</v>
      </c>
      <c r="C31">
        <f>+CAPPO!J42</f>
        <v>3070</v>
      </c>
      <c r="D31">
        <v>0</v>
      </c>
      <c r="E31" s="33">
        <f t="shared" si="0"/>
        <v>3070</v>
      </c>
      <c r="G31" s="33"/>
      <c r="H31" s="34"/>
    </row>
    <row r="32" spans="1:8" x14ac:dyDescent="0.25">
      <c r="A32" t="str">
        <f>CONCATENATE("V",CAPPO!B43)</f>
        <v>V6573855</v>
      </c>
      <c r="B32" s="33" t="str">
        <f>+CAPPO!D43</f>
        <v>PEREZ AVILA LUIS</v>
      </c>
      <c r="C32">
        <f>+CAPPO!J43</f>
        <v>1180</v>
      </c>
      <c r="D32">
        <v>0</v>
      </c>
      <c r="E32" s="33">
        <f t="shared" si="0"/>
        <v>1180</v>
      </c>
      <c r="G32" s="33"/>
      <c r="H32" s="34"/>
    </row>
    <row r="33" spans="1:9" x14ac:dyDescent="0.25">
      <c r="A33" t="str">
        <f>CONCATENATE("V",CAPPO!B44)</f>
        <v>V6575243</v>
      </c>
      <c r="B33" s="33" t="str">
        <f>+CAPPO!D44</f>
        <v>PEREZ FREDIS</v>
      </c>
      <c r="C33">
        <f>+CAPPO!J44</f>
        <v>7297.16</v>
      </c>
      <c r="D33">
        <v>0</v>
      </c>
      <c r="E33" s="33">
        <f t="shared" si="0"/>
        <v>7297.16</v>
      </c>
      <c r="G33" s="33"/>
      <c r="H33" s="34"/>
    </row>
    <row r="34" spans="1:9" x14ac:dyDescent="0.25">
      <c r="A34" t="str">
        <f>CONCATENATE("V",CAPPO!B45)</f>
        <v>V7455429</v>
      </c>
      <c r="B34" s="33" t="str">
        <f>+CAPPO!D45</f>
        <v>PERNALETE ORQUIDIA</v>
      </c>
      <c r="C34">
        <f>+CAPPO!J45</f>
        <v>3422.87</v>
      </c>
      <c r="D34">
        <v>0</v>
      </c>
      <c r="E34" s="33">
        <f t="shared" si="0"/>
        <v>3422.87</v>
      </c>
      <c r="G34" s="33"/>
      <c r="H34" s="34"/>
    </row>
    <row r="35" spans="1:9" x14ac:dyDescent="0.25">
      <c r="A35" t="str">
        <f>CONCATENATE("V",CAPPO!B46)</f>
        <v>V15599929</v>
      </c>
      <c r="B35" s="33" t="str">
        <f>+CAPPO!D46</f>
        <v>PUERTA ACOSTA ELIZAB</v>
      </c>
      <c r="C35">
        <f>+CAPPO!J46</f>
        <v>1918.74</v>
      </c>
      <c r="D35">
        <v>0</v>
      </c>
      <c r="E35" s="33">
        <f t="shared" si="0"/>
        <v>1918.74</v>
      </c>
      <c r="G35" s="33"/>
      <c r="H35" s="34"/>
    </row>
    <row r="36" spans="1:9" x14ac:dyDescent="0.25">
      <c r="A36" t="str">
        <f>CONCATENATE("V",CAPPO!B47)</f>
        <v>V9557875</v>
      </c>
      <c r="B36" s="33" t="str">
        <f>+CAPPO!D47</f>
        <v>QUERALES NORYS</v>
      </c>
      <c r="C36">
        <f>+CAPPO!J47</f>
        <v>1910.7199999999998</v>
      </c>
      <c r="D36">
        <v>0</v>
      </c>
      <c r="E36" s="33">
        <f t="shared" si="0"/>
        <v>1910.7199999999998</v>
      </c>
      <c r="G36" s="33"/>
      <c r="H36" s="34"/>
    </row>
    <row r="37" spans="1:9" x14ac:dyDescent="0.25">
      <c r="A37" t="str">
        <f>CONCATENATE("V",CAPPO!B48)</f>
        <v>V10770124</v>
      </c>
      <c r="B37" s="33" t="str">
        <f>+CAPPO!D48</f>
        <v>REA ALEXIS</v>
      </c>
      <c r="C37">
        <f>+CAPPO!J48</f>
        <v>4558.87</v>
      </c>
      <c r="D37">
        <v>0</v>
      </c>
      <c r="E37" s="33">
        <f t="shared" si="0"/>
        <v>4558.87</v>
      </c>
      <c r="G37" s="33"/>
      <c r="H37" s="34"/>
    </row>
    <row r="38" spans="1:9" x14ac:dyDescent="0.25">
      <c r="A38" t="str">
        <f>CONCATENATE("V",CAPPO!B49)</f>
        <v>V10770124</v>
      </c>
      <c r="B38" s="33" t="str">
        <f>+CAPPO!D49</f>
        <v>REA ALEXIS</v>
      </c>
      <c r="C38">
        <f>+CAPPO!J49</f>
        <v>3130.9700000000003</v>
      </c>
      <c r="D38">
        <v>0</v>
      </c>
      <c r="E38" s="33">
        <f t="shared" si="0"/>
        <v>3130.9700000000003</v>
      </c>
      <c r="G38" s="33"/>
      <c r="H38" s="34"/>
    </row>
    <row r="39" spans="1:9" x14ac:dyDescent="0.25">
      <c r="A39" t="str">
        <f>CONCATENATE("V",CAPPO!B50)</f>
        <v>V10770124</v>
      </c>
      <c r="B39" s="33" t="str">
        <f>+CAPPO!D50</f>
        <v>REA ALEXIS</v>
      </c>
      <c r="C39">
        <f>+CAPPO!J50</f>
        <v>5092.53</v>
      </c>
      <c r="D39">
        <v>0</v>
      </c>
      <c r="E39" s="33">
        <f t="shared" si="0"/>
        <v>5092.53</v>
      </c>
      <c r="G39" s="33"/>
      <c r="H39" s="34"/>
    </row>
    <row r="40" spans="1:9" x14ac:dyDescent="0.25">
      <c r="A40" t="str">
        <f>CONCATENATE("V",CAPPO!B51)</f>
        <v>V3710064</v>
      </c>
      <c r="B40" s="33" t="str">
        <f>+CAPPO!D51</f>
        <v>RIVERO  FREDDY</v>
      </c>
      <c r="C40">
        <f>+CAPPO!J51</f>
        <v>3585</v>
      </c>
      <c r="D40">
        <v>0</v>
      </c>
      <c r="E40" s="33">
        <f t="shared" si="0"/>
        <v>3585</v>
      </c>
      <c r="G40" s="33"/>
      <c r="H40" s="34"/>
    </row>
    <row r="41" spans="1:9" s="35" customFormat="1" x14ac:dyDescent="0.25">
      <c r="A41" t="str">
        <f>CONCATENATE("V",CAPPO!B52)</f>
        <v>V4065648</v>
      </c>
      <c r="B41" s="33" t="str">
        <f>+CAPPO!D52</f>
        <v>RODRIGUEZ  MELQUIADES</v>
      </c>
      <c r="C41">
        <f>+CAPPO!J52</f>
        <v>1742.49</v>
      </c>
      <c r="D41">
        <v>0</v>
      </c>
      <c r="E41" s="33">
        <f t="shared" si="0"/>
        <v>1742.49</v>
      </c>
      <c r="F41"/>
      <c r="G41" s="33"/>
      <c r="H41" s="34"/>
      <c r="I41" s="46"/>
    </row>
    <row r="42" spans="1:9" s="35" customFormat="1" x14ac:dyDescent="0.25">
      <c r="A42" t="str">
        <f>CONCATENATE("V",CAPPO!B53)</f>
        <v>V17859921</v>
      </c>
      <c r="B42" s="33" t="str">
        <f>+CAPPO!D53</f>
        <v>SANCHEZ S ROSA VIRGINIA</v>
      </c>
      <c r="C42">
        <f>+CAPPO!J53</f>
        <v>2659.49</v>
      </c>
      <c r="D42">
        <v>0</v>
      </c>
      <c r="E42" s="33">
        <f t="shared" si="0"/>
        <v>2659.49</v>
      </c>
      <c r="F42"/>
      <c r="G42" s="33"/>
      <c r="H42" s="34"/>
      <c r="I42" s="46"/>
    </row>
    <row r="43" spans="1:9" x14ac:dyDescent="0.25">
      <c r="A43" t="str">
        <f>CONCATENATE("V",CAPPO!B54)</f>
        <v>V17859921</v>
      </c>
      <c r="B43" s="33" t="str">
        <f>+CAPPO!D54</f>
        <v>SANCHEZ S ROSA VIRGINIA</v>
      </c>
      <c r="C43">
        <f>+CAPPO!J54</f>
        <v>4628.08</v>
      </c>
      <c r="D43">
        <v>0</v>
      </c>
      <c r="E43" s="33">
        <f t="shared" si="0"/>
        <v>4628.08</v>
      </c>
      <c r="G43" s="33"/>
      <c r="H43" s="34"/>
    </row>
    <row r="44" spans="1:9" x14ac:dyDescent="0.25">
      <c r="A44" t="str">
        <f>CONCATENATE("V",CAPPO!B55)</f>
        <v>V2913757</v>
      </c>
      <c r="B44" s="33" t="str">
        <f>+CAPPO!D55</f>
        <v>SILVA  JOSE</v>
      </c>
      <c r="C44">
        <f>+CAPPO!J55</f>
        <v>2060.09</v>
      </c>
      <c r="D44">
        <v>0</v>
      </c>
      <c r="E44" s="33">
        <f t="shared" si="0"/>
        <v>2060.09</v>
      </c>
      <c r="G44" s="33"/>
      <c r="H44" s="34"/>
    </row>
    <row r="45" spans="1:9" x14ac:dyDescent="0.25">
      <c r="A45" t="str">
        <f>CONCATENATE("V",CAPPO!B56)</f>
        <v>V2913757</v>
      </c>
      <c r="B45" s="33" t="str">
        <f>+CAPPO!D56</f>
        <v>SILVA P JOSE</v>
      </c>
      <c r="C45">
        <f>+CAPPO!J56</f>
        <v>6269.12</v>
      </c>
      <c r="D45">
        <v>0</v>
      </c>
      <c r="E45" s="33">
        <f t="shared" si="0"/>
        <v>6269.12</v>
      </c>
      <c r="G45" s="33"/>
      <c r="H45" s="34"/>
    </row>
    <row r="46" spans="1:9" x14ac:dyDescent="0.25">
      <c r="A46" t="str">
        <f>CONCATENATE("V",CAPPO!B57)</f>
        <v>V2913757</v>
      </c>
      <c r="B46" s="33" t="str">
        <f>+CAPPO!D57</f>
        <v>SILVA P JOSE</v>
      </c>
      <c r="C46">
        <f>+CAPPO!J57</f>
        <v>5796.79</v>
      </c>
      <c r="D46">
        <v>0</v>
      </c>
      <c r="E46" s="33">
        <f t="shared" si="0"/>
        <v>5796.79</v>
      </c>
      <c r="G46" s="33"/>
      <c r="H46" s="34"/>
    </row>
    <row r="47" spans="1:9" x14ac:dyDescent="0.25">
      <c r="A47" t="str">
        <f>CONCATENATE("V",CAPPO!B58)</f>
        <v>V2913757</v>
      </c>
      <c r="B47" s="33" t="str">
        <f>+CAPPO!D58</f>
        <v>SILVA P JOSE</v>
      </c>
      <c r="C47">
        <f>+CAPPO!J58</f>
        <v>2242.87</v>
      </c>
      <c r="D47">
        <v>0</v>
      </c>
      <c r="E47" s="33">
        <f t="shared" si="0"/>
        <v>2242.87</v>
      </c>
      <c r="G47" s="33"/>
      <c r="H47" s="34"/>
    </row>
    <row r="48" spans="1:9" x14ac:dyDescent="0.25">
      <c r="A48" t="str">
        <f>CONCATENATE("V",CAPPO!B59)</f>
        <v>V5255641</v>
      </c>
      <c r="B48" s="33" t="str">
        <f>+CAPPO!D59</f>
        <v>SOTO EDUARDO</v>
      </c>
      <c r="C48">
        <f>+CAPPO!J59</f>
        <v>1990</v>
      </c>
      <c r="D48">
        <v>0</v>
      </c>
      <c r="E48" s="33">
        <f t="shared" si="0"/>
        <v>1990</v>
      </c>
      <c r="G48" s="33"/>
      <c r="H48" s="34"/>
    </row>
    <row r="49" spans="1:8" x14ac:dyDescent="0.25">
      <c r="A49" t="str">
        <f>CONCATENATE("V",CAPPO!B60)</f>
        <v>V2915780</v>
      </c>
      <c r="B49" s="33" t="str">
        <f>+CAPPO!D60</f>
        <v>SUAREZ MIGUEL</v>
      </c>
      <c r="C49">
        <f>+CAPPO!J60</f>
        <v>10019.969999999999</v>
      </c>
      <c r="D49">
        <v>0</v>
      </c>
      <c r="E49" s="33">
        <f t="shared" si="0"/>
        <v>10019.969999999999</v>
      </c>
      <c r="G49" s="33"/>
      <c r="H49" s="34"/>
    </row>
    <row r="50" spans="1:8" x14ac:dyDescent="0.25">
      <c r="A50" t="str">
        <f>CONCATENATE("V",CAPPO!B61)</f>
        <v>V17727473</v>
      </c>
      <c r="B50" s="33" t="str">
        <f>+CAPPO!D61</f>
        <v>SUAREZ PEROZO DIXON</v>
      </c>
      <c r="C50">
        <f>+CAPPO!J61</f>
        <v>5147.01</v>
      </c>
      <c r="D50">
        <v>0</v>
      </c>
      <c r="E50" s="33">
        <f t="shared" si="0"/>
        <v>5147.01</v>
      </c>
      <c r="G50" s="33"/>
      <c r="H50" s="34"/>
    </row>
    <row r="51" spans="1:8" x14ac:dyDescent="0.25">
      <c r="A51" t="str">
        <f>CONCATENATE("V",CAPPO!B62)</f>
        <v>V11633896</v>
      </c>
      <c r="B51" s="33" t="str">
        <f>+CAPPO!D62</f>
        <v>TORO AQUILES</v>
      </c>
      <c r="C51">
        <f>+CAPPO!J62</f>
        <v>1176</v>
      </c>
      <c r="D51">
        <v>0</v>
      </c>
      <c r="E51" s="33">
        <f t="shared" si="0"/>
        <v>1176</v>
      </c>
      <c r="G51" s="33"/>
      <c r="H51" s="34"/>
    </row>
    <row r="52" spans="1:8" x14ac:dyDescent="0.25">
      <c r="A52" t="str">
        <f>CONCATENATE("V",CAPPO!B63)</f>
        <v>V9607091</v>
      </c>
      <c r="B52" s="33" t="str">
        <f>+CAPPO!D63</f>
        <v>UZCATEGUI  EDUARDO</v>
      </c>
      <c r="C52">
        <f>+CAPPO!J63</f>
        <v>3981.52</v>
      </c>
      <c r="D52">
        <v>0</v>
      </c>
      <c r="E52" s="33">
        <f t="shared" si="0"/>
        <v>3981.52</v>
      </c>
      <c r="G52" s="33"/>
      <c r="H52" s="34"/>
    </row>
    <row r="53" spans="1:8" x14ac:dyDescent="0.25">
      <c r="A53" t="str">
        <f>CONCATENATE("V",CAPPO!B64)</f>
        <v>V10848158</v>
      </c>
      <c r="B53" s="33" t="str">
        <f>+CAPPO!D64</f>
        <v>VASQUEZ JORGE</v>
      </c>
      <c r="C53">
        <f>+CAPPO!J64</f>
        <v>5241.38</v>
      </c>
      <c r="D53">
        <v>0</v>
      </c>
      <c r="E53" s="33">
        <f t="shared" si="0"/>
        <v>5241.38</v>
      </c>
      <c r="G53" s="33"/>
      <c r="H53" s="34"/>
    </row>
    <row r="54" spans="1:8" x14ac:dyDescent="0.25">
      <c r="A54" t="str">
        <f>CONCATENATE("V",CAPPO!B65)</f>
        <v>V16137706</v>
      </c>
      <c r="B54" s="33" t="str">
        <f>+CAPPO!D65</f>
        <v>VASQUEZ U. EDIXON</v>
      </c>
      <c r="C54">
        <f>+CAPPO!J65</f>
        <v>3317.73</v>
      </c>
      <c r="D54">
        <v>0</v>
      </c>
      <c r="E54" s="33">
        <f t="shared" si="0"/>
        <v>3317.73</v>
      </c>
      <c r="G54" s="33"/>
      <c r="H54" s="34"/>
    </row>
    <row r="55" spans="1:8" x14ac:dyDescent="0.25">
      <c r="A55" t="str">
        <f>CONCATENATE("V",CAPPO!B66)</f>
        <v>V10774121</v>
      </c>
      <c r="B55" s="33" t="str">
        <f>+CAPPO!D66</f>
        <v>VIRGUEZ AGUILAR DIXON</v>
      </c>
      <c r="C55">
        <f>+CAPPO!J66</f>
        <v>9778.31</v>
      </c>
      <c r="D55">
        <v>0</v>
      </c>
      <c r="E55" s="33">
        <f t="shared" si="0"/>
        <v>9778.31</v>
      </c>
      <c r="G55" s="33"/>
      <c r="H55" s="34"/>
    </row>
    <row r="56" spans="1:8" x14ac:dyDescent="0.25">
      <c r="A56" t="str">
        <f>CONCATENATE("V",CAPPO!B67)</f>
        <v>V12249178</v>
      </c>
      <c r="B56" s="33" t="str">
        <f>+CAPPO!D67</f>
        <v>VIRGUEZ DARWIN</v>
      </c>
      <c r="C56">
        <f>+CAPPO!J67</f>
        <v>3071.95</v>
      </c>
      <c r="D56">
        <v>0</v>
      </c>
      <c r="E56" s="33">
        <f t="shared" si="0"/>
        <v>3071.95</v>
      </c>
      <c r="G56" s="33"/>
      <c r="H56" s="34"/>
    </row>
    <row r="57" spans="1:8" x14ac:dyDescent="0.25">
      <c r="A57" t="str">
        <f>CONCATENATE("V",CAPPO!B68)</f>
        <v>V12249178</v>
      </c>
      <c r="B57" s="33" t="str">
        <f>+CAPPO!D68</f>
        <v>VIRGUEZ DARWIN</v>
      </c>
      <c r="C57">
        <f>+CAPPO!J68</f>
        <v>4248.25</v>
      </c>
      <c r="D57">
        <v>0</v>
      </c>
      <c r="E57" s="33">
        <f t="shared" si="0"/>
        <v>4248.25</v>
      </c>
      <c r="G57" s="33"/>
      <c r="H57" s="34"/>
    </row>
    <row r="58" spans="1:8" x14ac:dyDescent="0.25">
      <c r="A58" t="str">
        <f>CONCATENATE("V",CAPPO!B69)</f>
        <v>V11749469</v>
      </c>
      <c r="B58" s="33" t="str">
        <f>+CAPPO!D69</f>
        <v>ZAPATA  MILDRED</v>
      </c>
      <c r="C58">
        <f>+CAPPO!J69</f>
        <v>5311</v>
      </c>
      <c r="D58">
        <v>0</v>
      </c>
      <c r="E58" s="33">
        <f t="shared" si="0"/>
        <v>5311</v>
      </c>
      <c r="G58" s="33"/>
      <c r="H58" s="34"/>
    </row>
    <row r="59" spans="1:8" x14ac:dyDescent="0.25">
      <c r="B59" s="33"/>
      <c r="E59" s="33"/>
      <c r="G59" s="33"/>
      <c r="H59" s="34"/>
    </row>
    <row r="60" spans="1:8" x14ac:dyDescent="0.25">
      <c r="B60" s="33"/>
      <c r="E60" s="33"/>
      <c r="G60" s="33"/>
      <c r="H60" s="34"/>
    </row>
    <row r="61" spans="1:8" x14ac:dyDescent="0.25">
      <c r="B61" s="33"/>
      <c r="E61" s="33"/>
      <c r="G61" s="33"/>
      <c r="H61" s="34"/>
    </row>
    <row r="62" spans="1:8" x14ac:dyDescent="0.25">
      <c r="B62" s="33"/>
      <c r="E62" s="33"/>
      <c r="G62" s="33"/>
      <c r="H62" s="34"/>
    </row>
    <row r="63" spans="1:8" x14ac:dyDescent="0.25">
      <c r="H63" s="34"/>
    </row>
    <row r="64" spans="1:8" x14ac:dyDescent="0.25">
      <c r="B64" s="33"/>
      <c r="E64" s="33"/>
      <c r="G64" s="33"/>
      <c r="H64" s="34"/>
    </row>
    <row r="65" spans="2:8" x14ac:dyDescent="0.25">
      <c r="H65" s="34"/>
    </row>
    <row r="66" spans="2:8" x14ac:dyDescent="0.25">
      <c r="B66" s="33"/>
      <c r="E66" s="33"/>
      <c r="G66" s="33"/>
      <c r="H66" s="34"/>
    </row>
    <row r="67" spans="2:8" x14ac:dyDescent="0.25">
      <c r="B67" s="33"/>
      <c r="E67" s="33"/>
      <c r="G67" s="33"/>
      <c r="H67" s="34"/>
    </row>
    <row r="68" spans="2:8" x14ac:dyDescent="0.25">
      <c r="B68" s="33"/>
      <c r="E68" s="33"/>
      <c r="G68" s="33"/>
      <c r="H68" s="34"/>
    </row>
    <row r="69" spans="2:8" x14ac:dyDescent="0.25">
      <c r="B69" s="33"/>
      <c r="E69" s="33"/>
      <c r="G69" s="33"/>
      <c r="H69" s="34"/>
    </row>
    <row r="70" spans="2:8" x14ac:dyDescent="0.25">
      <c r="B70" s="33"/>
      <c r="E70" s="33"/>
      <c r="G70" s="33"/>
      <c r="H70" s="34"/>
    </row>
    <row r="71" spans="2:8" x14ac:dyDescent="0.25">
      <c r="B71" s="33"/>
      <c r="E71" s="33"/>
      <c r="G71" s="33"/>
      <c r="H71" s="34"/>
    </row>
    <row r="72" spans="2:8" x14ac:dyDescent="0.25">
      <c r="B72" s="33"/>
      <c r="E72" s="33"/>
      <c r="G72" s="33"/>
      <c r="H72" s="34"/>
    </row>
    <row r="73" spans="2:8" x14ac:dyDescent="0.25">
      <c r="B73" s="33"/>
      <c r="E73" s="33"/>
      <c r="G73" s="33"/>
      <c r="H73" s="34"/>
    </row>
    <row r="74" spans="2:8" x14ac:dyDescent="0.25">
      <c r="B74" s="33"/>
      <c r="E74" s="33"/>
      <c r="G74" s="33"/>
      <c r="H74" s="34"/>
    </row>
    <row r="75" spans="2:8" x14ac:dyDescent="0.25">
      <c r="B75" s="33"/>
      <c r="E75" s="33"/>
      <c r="G75" s="33"/>
      <c r="H75" s="34"/>
    </row>
    <row r="76" spans="2:8" x14ac:dyDescent="0.25">
      <c r="B76" s="33"/>
      <c r="E76" s="33"/>
      <c r="G76" s="33"/>
      <c r="H76" s="34"/>
    </row>
    <row r="77" spans="2:8" x14ac:dyDescent="0.25">
      <c r="B77" s="33"/>
      <c r="E77" s="33"/>
      <c r="G77" s="33"/>
      <c r="H77" s="34"/>
    </row>
    <row r="78" spans="2:8" x14ac:dyDescent="0.25">
      <c r="H78" s="34"/>
    </row>
    <row r="79" spans="2:8" x14ac:dyDescent="0.25">
      <c r="B79" s="33"/>
      <c r="E79" s="33"/>
      <c r="G79" s="33"/>
      <c r="H79" s="34"/>
    </row>
    <row r="80" spans="2:8" x14ac:dyDescent="0.25">
      <c r="B80" s="33"/>
      <c r="E80" s="33"/>
      <c r="G80" s="33"/>
      <c r="H80" s="34"/>
    </row>
    <row r="81" spans="2:8" x14ac:dyDescent="0.25">
      <c r="B81" s="33"/>
      <c r="E81" s="33"/>
      <c r="G81" s="33"/>
      <c r="H81" s="34"/>
    </row>
    <row r="82" spans="2:8" x14ac:dyDescent="0.25">
      <c r="B82" s="33"/>
      <c r="E82" s="33"/>
      <c r="G82" s="33"/>
      <c r="H82" s="34"/>
    </row>
    <row r="83" spans="2:8" x14ac:dyDescent="0.25">
      <c r="B83" s="33"/>
      <c r="E83" s="33"/>
      <c r="G83" s="33"/>
      <c r="H83" s="34"/>
    </row>
    <row r="84" spans="2:8" x14ac:dyDescent="0.25">
      <c r="B84" s="33"/>
      <c r="E84" s="33"/>
      <c r="G84" s="33"/>
      <c r="H84" s="34"/>
    </row>
    <row r="86" spans="2:8" x14ac:dyDescent="0.25">
      <c r="G86" s="33"/>
    </row>
  </sheetData>
  <sortState ref="A1:I86">
    <sortCondition ref="A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CAPPO</vt:lpstr>
      <vt:lpstr>Hoja1</vt:lpstr>
      <vt:lpstr>CAPPO!Área_de_impresión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2017-03-22T18:05:05Z</cp:lastPrinted>
  <dcterms:created xsi:type="dcterms:W3CDTF">2011-11-14T15:12:23Z</dcterms:created>
  <dcterms:modified xsi:type="dcterms:W3CDTF">2017-05-03T15:48:11Z</dcterms:modified>
</cp:coreProperties>
</file>