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K18" i="1" l="1"/>
  <c r="J12" i="1" l="1"/>
  <c r="J17" i="1"/>
  <c r="J16" i="1"/>
  <c r="J11" i="1"/>
  <c r="J10" i="1"/>
  <c r="J13" i="1"/>
  <c r="J14" i="1"/>
  <c r="J15" i="1"/>
  <c r="H18" i="1" l="1"/>
  <c r="G18" i="1"/>
  <c r="F18" i="1"/>
  <c r="E18" i="1"/>
  <c r="K14" i="1"/>
  <c r="K13" i="1"/>
  <c r="K10" i="1" l="1"/>
  <c r="K15" i="1"/>
  <c r="K12" i="1"/>
  <c r="K16" i="1"/>
  <c r="K11" i="1"/>
  <c r="H10" i="2"/>
  <c r="G10" i="2"/>
  <c r="F10" i="2"/>
  <c r="E10" i="2"/>
  <c r="J9" i="2"/>
  <c r="K9" i="2" s="1"/>
  <c r="K10" i="2" s="1"/>
  <c r="J18" i="1" l="1"/>
  <c r="J10" i="2"/>
  <c r="K17" i="1"/>
</calcChain>
</file>

<file path=xl/sharedStrings.xml><?xml version="1.0" encoding="utf-8"?>
<sst xmlns="http://schemas.openxmlformats.org/spreadsheetml/2006/main" count="66" uniqueCount="46">
  <si>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</si>
  <si>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</si>
  <si>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</si>
  <si>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</si>
  <si>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</si>
  <si>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</si>
  <si>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</si>
  <si>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</si>
  <si>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</si>
  <si>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</si>
  <si>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</si>
  <si>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</si>
  <si>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</si>
  <si>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</si>
  <si>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</si>
  <si>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</si>
  <si>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</si>
  <si>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</si>
  <si>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</si>
  <si>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</si>
  <si>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Desde  18/03/13 Hasta: 23/03/13</t>
  </si>
  <si>
    <t>VASQUEZ FRANKLIN</t>
  </si>
  <si>
    <t>ARRIECHE P. SILVIO</t>
  </si>
  <si>
    <t>YEPEZ  BERNARDO</t>
  </si>
  <si>
    <t>FLORES JOSE</t>
  </si>
  <si>
    <t>PEREZ  OMAR</t>
  </si>
  <si>
    <t>PEROZO RAFAEL</t>
  </si>
  <si>
    <t>SOTO EDUARDO</t>
  </si>
  <si>
    <t>Desde  25/03/13 Hasta: 31/03/13</t>
  </si>
  <si>
    <t>12848719</t>
  </si>
  <si>
    <t>00174</t>
  </si>
  <si>
    <t>11267811</t>
  </si>
  <si>
    <t>00713</t>
  </si>
  <si>
    <t>MADRIZ COLMENAREZ GIOVANNY</t>
  </si>
  <si>
    <t>11429792</t>
  </si>
  <si>
    <t>01518</t>
  </si>
  <si>
    <t>7466779</t>
  </si>
  <si>
    <t>01732</t>
  </si>
  <si>
    <t>12702273</t>
  </si>
  <si>
    <t>01741</t>
  </si>
  <si>
    <t>5255641</t>
  </si>
  <si>
    <t>02047</t>
  </si>
  <si>
    <t>11790818</t>
  </si>
  <si>
    <t>02337</t>
  </si>
  <si>
    <t>2030572</t>
  </si>
  <si>
    <t>02501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</si>
</sst>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1"/>
    <xf numFmtId="0" fontId="3" fillId="0" borderId="0" xfId="1" applyFont="1" applyAlignment="1"/>
    <xf numFmtId="164" fontId="3" fillId="0" borderId="0" xfId="1" applyNumberFormat="1" applyFont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164" fontId="17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0" fillId="0" borderId="0" xfId="0" applyNumberFormat="1"/>
    <xf numFmtId="164" fontId="12" fillId="0" borderId="7" xfId="1" applyNumberFormat="1" applyFont="1" applyBorder="1" applyAlignment="1"/>
    <xf numFmtId="167" fontId="16" fillId="0" borderId="0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7" fillId="0" borderId="8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M28"/>
  <sheetViews>
    <sheetView tabSelected="1" workbookViewId="0">
      <selection activeCell="E14" sqref="E14"/>
    </sheetView>
  </sheetViews>
  <sheetFormatPr baseColWidth="10" defaultRowHeight="15" x14ac:dyDescent="0.25"/>
  <cols>
    <col min="1" max="1" width="6.7109375" customWidth="1"/>
    <col min="2" max="2" width="7.140625" style="26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7" customWidth="1"/>
    <col min="10" max="10" width="7.42578125" customWidth="1"/>
    <col min="11" max="11" width="8.28515625" customWidth="1"/>
  </cols>
  <sheetData>
    <row r="1" spans="1:12" ht="15.75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11"/>
    </row>
    <row r="2" spans="1:12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2"/>
    </row>
    <row r="3" spans="1:12" x14ac:dyDescent="0.25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13"/>
    </row>
    <row r="4" spans="1:12" x14ac:dyDescent="0.25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15"/>
    </row>
    <row r="5" spans="1:12" x14ac:dyDescent="0.25">
      <c r="A5" s="54" t="s">
        <v>17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16"/>
    </row>
    <row r="6" spans="1:12" x14ac:dyDescent="0.25">
      <c r="A6" s="49" t="s">
        <v>28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15"/>
    </row>
    <row r="7" spans="1:12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15"/>
    </row>
    <row r="8" spans="1:12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15"/>
    </row>
    <row r="9" spans="1:12" x14ac:dyDescent="0.25">
      <c r="A9" s="5" t="s">
        <v>4</v>
      </c>
      <c r="B9" s="25" t="s">
        <v>5</v>
      </c>
      <c r="C9" s="4" t="s">
        <v>6</v>
      </c>
      <c r="D9" s="18" t="s">
        <v>18</v>
      </c>
      <c r="E9" s="18" t="s">
        <v>8</v>
      </c>
      <c r="F9" s="6" t="s">
        <v>9</v>
      </c>
      <c r="G9" s="6" t="s">
        <v>11</v>
      </c>
      <c r="H9" s="19" t="s">
        <v>19</v>
      </c>
      <c r="I9" s="18" t="s">
        <v>7</v>
      </c>
      <c r="J9" s="17" t="s">
        <v>10</v>
      </c>
      <c r="K9" s="6" t="s">
        <v>12</v>
      </c>
      <c r="L9" s="1"/>
    </row>
    <row r="10" spans="1:12" x14ac:dyDescent="0.25">
      <c r="A10" s="20">
        <v>41358</v>
      </c>
      <c r="B10" s="8" t="s">
        <v>29</v>
      </c>
      <c r="C10" s="8" t="s">
        <v>30</v>
      </c>
      <c r="D10" s="9" t="s">
        <v>22</v>
      </c>
      <c r="E10" s="7">
        <v>341.64</v>
      </c>
      <c r="F10" s="7">
        <v>54.4</v>
      </c>
      <c r="G10" s="7">
        <v>8.36</v>
      </c>
      <c r="H10" s="7">
        <v>295.60000000000002</v>
      </c>
      <c r="I10" s="14">
        <v>525301</v>
      </c>
      <c r="J10" s="27">
        <f t="shared" ref="J10:J17" si="0">H10*5%</f>
        <v>14.780000000000001</v>
      </c>
      <c r="K10" s="22">
        <f t="shared" ref="K10:K17" si="1">H10-J10</f>
        <v>280.82000000000005</v>
      </c>
      <c r="L10" s="1"/>
    </row>
    <row r="11" spans="1:12" x14ac:dyDescent="0.25">
      <c r="A11" s="20">
        <v>41358</v>
      </c>
      <c r="B11" s="8" t="s">
        <v>31</v>
      </c>
      <c r="C11" s="8" t="s">
        <v>32</v>
      </c>
      <c r="D11" s="9" t="s">
        <v>24</v>
      </c>
      <c r="E11" s="7">
        <v>275</v>
      </c>
      <c r="F11" s="7">
        <v>55</v>
      </c>
      <c r="G11" s="7">
        <v>0</v>
      </c>
      <c r="H11" s="7">
        <v>220</v>
      </c>
      <c r="I11" s="14">
        <v>525275</v>
      </c>
      <c r="J11" s="27">
        <f t="shared" si="0"/>
        <v>11</v>
      </c>
      <c r="K11" s="22">
        <f t="shared" si="1"/>
        <v>209</v>
      </c>
      <c r="L11" s="1"/>
    </row>
    <row r="12" spans="1:12" x14ac:dyDescent="0.25">
      <c r="A12" s="20">
        <v>41358</v>
      </c>
      <c r="B12" s="8" t="s">
        <v>34</v>
      </c>
      <c r="C12" s="8" t="s">
        <v>35</v>
      </c>
      <c r="D12" s="9" t="s">
        <v>33</v>
      </c>
      <c r="E12" s="7">
        <v>266</v>
      </c>
      <c r="F12" s="7">
        <v>53.2</v>
      </c>
      <c r="G12" s="7">
        <v>0</v>
      </c>
      <c r="H12" s="7">
        <v>212.8</v>
      </c>
      <c r="I12" s="14">
        <v>525249</v>
      </c>
      <c r="J12" s="27">
        <f t="shared" si="0"/>
        <v>10.64</v>
      </c>
      <c r="K12" s="22">
        <f t="shared" si="1"/>
        <v>202.16000000000003</v>
      </c>
      <c r="L12" s="1"/>
    </row>
    <row r="13" spans="1:12" x14ac:dyDescent="0.25">
      <c r="A13" s="20">
        <v>41359</v>
      </c>
      <c r="B13" s="8" t="s">
        <v>36</v>
      </c>
      <c r="C13" s="8" t="s">
        <v>37</v>
      </c>
      <c r="D13" s="9" t="s">
        <v>25</v>
      </c>
      <c r="E13" s="7">
        <v>1350</v>
      </c>
      <c r="F13" s="7">
        <v>270</v>
      </c>
      <c r="G13" s="7">
        <v>0</v>
      </c>
      <c r="H13" s="7">
        <v>1080</v>
      </c>
      <c r="I13" s="14">
        <v>525303</v>
      </c>
      <c r="J13" s="27">
        <f t="shared" si="0"/>
        <v>54</v>
      </c>
      <c r="K13" s="22">
        <f t="shared" si="1"/>
        <v>1026</v>
      </c>
      <c r="L13" s="1"/>
    </row>
    <row r="14" spans="1:12" x14ac:dyDescent="0.25">
      <c r="A14" s="20">
        <v>41359</v>
      </c>
      <c r="B14" s="8" t="s">
        <v>38</v>
      </c>
      <c r="C14" s="8" t="s">
        <v>39</v>
      </c>
      <c r="D14" s="9" t="s">
        <v>26</v>
      </c>
      <c r="E14" s="7">
        <v>683</v>
      </c>
      <c r="F14" s="7">
        <v>136.6</v>
      </c>
      <c r="G14" s="7">
        <v>0</v>
      </c>
      <c r="H14" s="7">
        <v>546.4</v>
      </c>
      <c r="I14" s="14">
        <v>525328</v>
      </c>
      <c r="J14" s="27">
        <f t="shared" si="0"/>
        <v>27.32</v>
      </c>
      <c r="K14" s="22">
        <f t="shared" si="1"/>
        <v>519.07999999999993</v>
      </c>
      <c r="L14" s="1"/>
    </row>
    <row r="15" spans="1:12" x14ac:dyDescent="0.25">
      <c r="A15" s="20">
        <v>41359</v>
      </c>
      <c r="B15" s="8" t="s">
        <v>40</v>
      </c>
      <c r="C15" s="8" t="s">
        <v>41</v>
      </c>
      <c r="D15" s="9" t="s">
        <v>27</v>
      </c>
      <c r="E15" s="7">
        <v>1365</v>
      </c>
      <c r="F15" s="7">
        <v>273</v>
      </c>
      <c r="G15" s="7">
        <v>0</v>
      </c>
      <c r="H15" s="7">
        <v>1092</v>
      </c>
      <c r="I15" s="14">
        <v>525363</v>
      </c>
      <c r="J15" s="27">
        <f t="shared" si="0"/>
        <v>54.6</v>
      </c>
      <c r="K15" s="22">
        <f t="shared" si="1"/>
        <v>1037.4000000000001</v>
      </c>
      <c r="L15" s="1"/>
    </row>
    <row r="16" spans="1:12" x14ac:dyDescent="0.25">
      <c r="A16" s="20">
        <v>41360</v>
      </c>
      <c r="B16" s="8" t="s">
        <v>42</v>
      </c>
      <c r="C16" s="8" t="s">
        <v>43</v>
      </c>
      <c r="D16" s="9" t="s">
        <v>21</v>
      </c>
      <c r="E16" s="7">
        <v>402</v>
      </c>
      <c r="F16" s="7">
        <v>80.400000000000006</v>
      </c>
      <c r="G16" s="7">
        <v>0</v>
      </c>
      <c r="H16" s="7">
        <v>321.60000000000002</v>
      </c>
      <c r="I16" s="14">
        <v>525264</v>
      </c>
      <c r="J16" s="27">
        <f t="shared" si="0"/>
        <v>16.080000000000002</v>
      </c>
      <c r="K16" s="22">
        <f t="shared" si="1"/>
        <v>305.52000000000004</v>
      </c>
      <c r="L16" s="1"/>
    </row>
    <row r="17" spans="1:13" x14ac:dyDescent="0.25">
      <c r="A17" s="20">
        <v>41360</v>
      </c>
      <c r="B17" s="8" t="s">
        <v>44</v>
      </c>
      <c r="C17" s="8" t="s">
        <v>45</v>
      </c>
      <c r="D17" s="9" t="s">
        <v>23</v>
      </c>
      <c r="E17" s="7">
        <v>627</v>
      </c>
      <c r="F17" s="7">
        <v>125.4</v>
      </c>
      <c r="G17" s="7">
        <v>0</v>
      </c>
      <c r="H17" s="7">
        <v>501.6</v>
      </c>
      <c r="I17" s="14">
        <v>525261</v>
      </c>
      <c r="J17" s="27">
        <f t="shared" si="0"/>
        <v>25.080000000000002</v>
      </c>
      <c r="K17" s="22">
        <f t="shared" si="1"/>
        <v>476.52000000000004</v>
      </c>
      <c r="L17" s="1"/>
    </row>
    <row r="18" spans="1:13" x14ac:dyDescent="0.25">
      <c r="A18" s="37"/>
      <c r="B18" s="37"/>
      <c r="C18" s="37"/>
      <c r="D18" s="37"/>
      <c r="E18" s="23">
        <f>SUM(E10:E17)</f>
        <v>5309.6399999999994</v>
      </c>
      <c r="F18" s="23">
        <f>SUM(F10:F17)</f>
        <v>1048</v>
      </c>
      <c r="G18" s="23">
        <f>SUM(G10:G17)</f>
        <v>8.36</v>
      </c>
      <c r="H18" s="23">
        <f>SUM(H10:H17)</f>
        <v>4270</v>
      </c>
      <c r="I18" s="23"/>
      <c r="J18" s="23">
        <f>SUM(J10:J17)</f>
        <v>213.50000000000003</v>
      </c>
      <c r="K18" s="23">
        <f>SUM(K10:K17)</f>
        <v>4056.5</v>
      </c>
      <c r="M18" s="10"/>
    </row>
    <row r="19" spans="1:13" x14ac:dyDescent="0.25">
      <c r="A19" s="28"/>
      <c r="B19" s="28"/>
      <c r="C19" s="28"/>
      <c r="D19" s="28"/>
      <c r="E19" s="23"/>
      <c r="F19" s="23"/>
      <c r="G19" s="23"/>
      <c r="H19" s="23"/>
      <c r="I19" s="23"/>
      <c r="J19" s="23"/>
      <c r="K19" s="23"/>
      <c r="M19" s="10"/>
    </row>
    <row r="20" spans="1:13" x14ac:dyDescent="0.25">
      <c r="A20" s="28"/>
      <c r="B20" s="28"/>
      <c r="C20" s="28"/>
      <c r="D20" s="28"/>
      <c r="E20" s="23"/>
      <c r="F20" s="23"/>
      <c r="G20" s="23"/>
      <c r="H20" s="23"/>
      <c r="I20" s="23"/>
      <c r="J20" s="23"/>
      <c r="K20" s="23"/>
      <c r="M20" s="10"/>
    </row>
    <row r="21" spans="1:13" x14ac:dyDescent="0.25">
      <c r="A21" s="28"/>
      <c r="B21" s="28"/>
      <c r="C21" s="28"/>
      <c r="D21" s="28"/>
      <c r="E21" s="23"/>
      <c r="F21" s="23"/>
      <c r="G21" s="23"/>
      <c r="H21" s="23"/>
      <c r="I21" s="23"/>
      <c r="J21" s="23"/>
      <c r="K21" s="23"/>
      <c r="M21" s="10"/>
    </row>
    <row r="22" spans="1:13" x14ac:dyDescent="0.25">
      <c r="A22" s="28"/>
      <c r="B22" s="28"/>
      <c r="C22" s="28"/>
      <c r="D22" s="28"/>
      <c r="E22" s="23"/>
      <c r="F22" s="23"/>
      <c r="G22" s="23"/>
      <c r="H22" s="23"/>
      <c r="I22" s="23"/>
      <c r="J22" s="23"/>
      <c r="K22" s="23"/>
      <c r="M22" s="10"/>
    </row>
    <row r="23" spans="1:13" x14ac:dyDescent="0.25">
      <c r="A23" s="28"/>
      <c r="B23" s="28"/>
      <c r="C23" s="28"/>
      <c r="D23" s="28"/>
      <c r="E23" s="23"/>
      <c r="F23" s="23"/>
      <c r="G23" s="23"/>
      <c r="H23" s="23"/>
      <c r="I23" s="23"/>
      <c r="J23" s="23"/>
      <c r="K23" s="23"/>
      <c r="M23" s="10"/>
    </row>
    <row r="24" spans="1:13" x14ac:dyDescent="0.25">
      <c r="A24" s="28"/>
      <c r="B24" s="28"/>
      <c r="C24" s="28"/>
      <c r="D24" s="28"/>
      <c r="E24" s="23"/>
      <c r="F24" s="23"/>
      <c r="G24" s="23"/>
      <c r="H24" s="23"/>
      <c r="I24" s="23"/>
      <c r="J24" s="23"/>
      <c r="K24" s="23"/>
      <c r="M24" s="10"/>
    </row>
    <row r="25" spans="1:13" x14ac:dyDescent="0.25">
      <c r="A25" s="2"/>
      <c r="B25" s="38" t="s">
        <v>13</v>
      </c>
      <c r="C25" s="39"/>
      <c r="D25" s="40"/>
      <c r="E25" s="41" t="s">
        <v>14</v>
      </c>
      <c r="F25" s="41"/>
      <c r="G25" s="41"/>
      <c r="H25" s="41"/>
      <c r="I25" s="41"/>
      <c r="J25" s="42"/>
      <c r="K25" s="3"/>
    </row>
    <row r="26" spans="1:13" ht="39" customHeight="1" x14ac:dyDescent="0.25">
      <c r="A26" s="2"/>
      <c r="B26" s="43"/>
      <c r="C26" s="44"/>
      <c r="D26" s="45"/>
      <c r="E26" s="46"/>
      <c r="F26" s="47"/>
      <c r="G26" s="47"/>
      <c r="H26" s="47"/>
      <c r="I26" s="47"/>
      <c r="J26" s="48"/>
      <c r="K26" s="3"/>
    </row>
    <row r="27" spans="1:13" x14ac:dyDescent="0.25">
      <c r="A27" s="1"/>
      <c r="B27" s="31" t="s">
        <v>15</v>
      </c>
      <c r="C27" s="32"/>
      <c r="D27" s="33"/>
      <c r="E27" s="34" t="s">
        <v>16</v>
      </c>
      <c r="F27" s="35"/>
      <c r="G27" s="35"/>
      <c r="H27" s="35"/>
      <c r="I27" s="35"/>
      <c r="J27" s="36"/>
      <c r="K27" s="1"/>
    </row>
    <row r="28" spans="1:13" x14ac:dyDescent="0.25">
      <c r="M28" s="10"/>
    </row>
  </sheetData>
  <sortState ref="D8:K16">
    <sortCondition ref="D8"/>
  </sortState>
  <mergeCells count="13">
    <mergeCell ref="A6:K6"/>
    <mergeCell ref="A1:K1"/>
    <mergeCell ref="A2:K2"/>
    <mergeCell ref="A3:K3"/>
    <mergeCell ref="A4:K4"/>
    <mergeCell ref="A5:K5"/>
    <mergeCell ref="B27:D27"/>
    <mergeCell ref="E27:J27"/>
    <mergeCell ref="A18:D18"/>
    <mergeCell ref="B25:D25"/>
    <mergeCell ref="E25:J25"/>
    <mergeCell ref="B26:D26"/>
    <mergeCell ref="E26:J26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6"/>
  <sheetViews>
    <sheetView topLeftCell="A8" workbookViewId="0">
      <selection activeCell="H24" sqref="H24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x14ac:dyDescent="0.25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x14ac:dyDescent="0.25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25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x14ac:dyDescent="0.25">
      <c r="A6" s="54" t="s">
        <v>17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x14ac:dyDescent="0.25">
      <c r="A7" s="55" t="s">
        <v>20</v>
      </c>
      <c r="B7" s="55"/>
      <c r="C7" s="55"/>
      <c r="D7" s="55"/>
      <c r="E7" s="55"/>
      <c r="F7" s="55"/>
      <c r="G7" s="55"/>
      <c r="H7" s="55"/>
      <c r="I7" s="55"/>
      <c r="J7" s="55"/>
      <c r="K7" s="55"/>
    </row>
    <row r="8" spans="1:11" x14ac:dyDescent="0.25">
      <c r="A8" s="5" t="s">
        <v>4</v>
      </c>
      <c r="B8" s="4" t="s">
        <v>5</v>
      </c>
      <c r="C8" s="4" t="s">
        <v>6</v>
      </c>
      <c r="D8" s="18" t="s">
        <v>18</v>
      </c>
      <c r="E8" s="18" t="s">
        <v>8</v>
      </c>
      <c r="F8" s="6" t="s">
        <v>9</v>
      </c>
      <c r="G8" s="6" t="s">
        <v>11</v>
      </c>
      <c r="H8" s="19" t="s">
        <v>19</v>
      </c>
      <c r="I8" s="18" t="s">
        <v>7</v>
      </c>
      <c r="J8" s="17" t="s">
        <v>10</v>
      </c>
      <c r="K8" s="6" t="s">
        <v>12</v>
      </c>
    </row>
    <row r="9" spans="1:11" x14ac:dyDescent="0.25">
      <c r="A9" s="20"/>
      <c r="B9" s="21"/>
      <c r="C9" s="8"/>
      <c r="D9" s="9"/>
      <c r="E9" s="7"/>
      <c r="F9" s="7"/>
      <c r="G9" s="7"/>
      <c r="H9" s="7"/>
      <c r="I9" s="14"/>
      <c r="J9" s="22">
        <f>H9*5%</f>
        <v>0</v>
      </c>
      <c r="K9" s="22">
        <f>H9-J9</f>
        <v>0</v>
      </c>
    </row>
    <row r="10" spans="1:11" x14ac:dyDescent="0.25">
      <c r="E10" s="24">
        <f>SUM(E9:E9)</f>
        <v>0</v>
      </c>
      <c r="F10" s="24">
        <f>SUM(F9:F9)</f>
        <v>0</v>
      </c>
      <c r="G10" s="24">
        <f>SUM(G9:G9)</f>
        <v>0</v>
      </c>
      <c r="H10" s="24">
        <f>SUM(H9:H9)</f>
        <v>0</v>
      </c>
      <c r="I10" s="24"/>
      <c r="J10" s="24">
        <f>SUM(J9:J9)</f>
        <v>0</v>
      </c>
      <c r="K10" s="24">
        <f>SUM(K9)</f>
        <v>0</v>
      </c>
    </row>
    <row r="13" spans="1:11" x14ac:dyDescent="0.25">
      <c r="B13" s="38" t="s">
        <v>13</v>
      </c>
      <c r="C13" s="39"/>
      <c r="D13" s="40"/>
      <c r="E13" s="41" t="s">
        <v>14</v>
      </c>
      <c r="F13" s="41"/>
      <c r="G13" s="41"/>
      <c r="H13" s="41"/>
      <c r="I13" s="41"/>
      <c r="J13" s="42"/>
    </row>
    <row r="14" spans="1:11" x14ac:dyDescent="0.25">
      <c r="B14" s="43"/>
      <c r="C14" s="44"/>
      <c r="D14" s="45"/>
      <c r="E14" s="46"/>
      <c r="F14" s="47"/>
      <c r="G14" s="47"/>
      <c r="H14" s="47"/>
      <c r="I14" s="47"/>
      <c r="J14" s="48"/>
    </row>
    <row r="15" spans="1:11" x14ac:dyDescent="0.25">
      <c r="B15" s="56"/>
      <c r="C15" s="57"/>
      <c r="D15" s="58"/>
      <c r="E15" s="59"/>
      <c r="F15" s="60"/>
      <c r="G15" s="60"/>
      <c r="H15" s="60"/>
      <c r="I15" s="60"/>
      <c r="J15" s="61"/>
    </row>
    <row r="16" spans="1:11" x14ac:dyDescent="0.25">
      <c r="B16" s="31" t="s">
        <v>15</v>
      </c>
      <c r="C16" s="32"/>
      <c r="D16" s="33"/>
      <c r="E16" s="34" t="s">
        <v>16</v>
      </c>
      <c r="F16" s="35"/>
      <c r="G16" s="35"/>
      <c r="H16" s="35"/>
      <c r="I16" s="35"/>
      <c r="J16" s="36"/>
    </row>
  </sheetData>
  <mergeCells count="12">
    <mergeCell ref="B13:D13"/>
    <mergeCell ref="E13:J13"/>
    <mergeCell ref="B14:D15"/>
    <mergeCell ref="E14:J15"/>
    <mergeCell ref="B16:D16"/>
    <mergeCell ref="E16:J16"/>
    <mergeCell ref="A7:K7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2013-04-01T15:56:31Z</cp:lastPrinted>
  <dcterms:created xsi:type="dcterms:W3CDTF">2011-11-14T15:12:23Z</dcterms:created>
  <dcterms:modified xsi:type="dcterms:W3CDTF">2013-04-11T16:38:34Z</dcterms:modified>
</cp:coreProperties>
</file>