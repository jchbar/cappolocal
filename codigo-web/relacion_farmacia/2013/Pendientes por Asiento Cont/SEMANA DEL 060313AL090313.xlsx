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35" windowHeight="8130"/>
  </bookViews>
  <sheets>
    <sheet name="CAPPO" sheetId="1" r:id="rId1"/>
    <sheet name="EMPLEADOS CAPPO" sheetId="2" r:id="rId2"/>
  </sheets>
  <calcPr calcId="144525"/>
</workbook>
</file>

<file path=xl/calcChain.xml><?xml version="1.0" encoding="utf-8"?>
<calcChain xmlns="http://schemas.openxmlformats.org/spreadsheetml/2006/main">
  <c r="J11" i="1" l="1"/>
  <c r="K11" i="1" s="1"/>
  <c r="J14" i="1"/>
  <c r="J18" i="1"/>
  <c r="J10" i="1"/>
  <c r="J20" i="1"/>
  <c r="J21" i="1"/>
  <c r="K21" i="1" s="1"/>
  <c r="J16" i="1"/>
  <c r="J17" i="1"/>
  <c r="K17" i="1" s="1"/>
  <c r="K15" i="1"/>
  <c r="J19" i="1"/>
  <c r="J22" i="1"/>
  <c r="K22" i="1" s="1"/>
  <c r="J8" i="1"/>
  <c r="K8" i="1" s="1"/>
  <c r="J12" i="1"/>
  <c r="H23" i="1"/>
  <c r="G23" i="1"/>
  <c r="F23" i="1"/>
  <c r="E23" i="1"/>
  <c r="K14" i="1"/>
  <c r="K9" i="1"/>
  <c r="K16" i="1"/>
  <c r="K12" i="1"/>
  <c r="K10" i="1"/>
  <c r="H12" i="2"/>
  <c r="G12" i="2"/>
  <c r="F12" i="2"/>
  <c r="E12" i="2"/>
  <c r="K20" i="1"/>
  <c r="J13" i="1"/>
  <c r="K13" i="1" s="1"/>
  <c r="K18" i="1"/>
  <c r="J10" i="2"/>
  <c r="K10" i="2" s="1"/>
  <c r="J11" i="2"/>
  <c r="K11" i="2" s="1"/>
  <c r="J9" i="2"/>
  <c r="K9" i="2" s="1"/>
  <c r="K12" i="2" s="1"/>
  <c r="K19" i="1"/>
  <c r="K23" i="1" l="1"/>
  <c r="J23" i="1"/>
  <c r="J12" i="2"/>
</calcChain>
</file>

<file path=xl/sharedStrings.xml><?xml version="1.0" encoding="utf-8"?>
<sst xmlns="http://schemas.openxmlformats.org/spreadsheetml/2006/main" count="88" uniqueCount="59">
  <si>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</si>
  <si>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</si>
  <si>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</si>
  <si>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</si>
  <si>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</si>
  <si>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</si>
  <si>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</si>
  <si>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</si>
  <si>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</si>
  <si>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</si>
  <si>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</si>
  <si>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</si>
  <si>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</si>
  <si>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</si>
  <si>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</si>
  <si>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</si>
  <si>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</si>
  <si>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</si>
  <si>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</si>
  <si>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</si>
  <si>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Desde  01/02/13 Hasta: 16/02/13</t>
  </si>
  <si>
    <t>Desde  06/03/13 Hasta: 09/03/13</t>
  </si>
  <si>
    <t>GIMENEZ JOSE</t>
  </si>
  <si>
    <t>12851330</t>
  </si>
  <si>
    <t>00882</t>
  </si>
  <si>
    <t>CRESPO  PEDRO</t>
  </si>
  <si>
    <t>GOMEZ BENITEZ JOHAN</t>
  </si>
  <si>
    <t>PEREZ ALEXANDER</t>
  </si>
  <si>
    <t>COLMENAREZ CARLOS</t>
  </si>
  <si>
    <t>PIÑA RAFAEL</t>
  </si>
  <si>
    <t>MEDINA HERMINIA</t>
  </si>
  <si>
    <t>4723168</t>
  </si>
  <si>
    <t>00335</t>
  </si>
  <si>
    <t>14810540</t>
  </si>
  <si>
    <t>00945</t>
  </si>
  <si>
    <t>11783201</t>
  </si>
  <si>
    <t>01786</t>
  </si>
  <si>
    <t>7316059</t>
  </si>
  <si>
    <t>00364</t>
  </si>
  <si>
    <t>10846940</t>
  </si>
  <si>
    <t>01719</t>
  </si>
  <si>
    <t>7393144</t>
  </si>
  <si>
    <t>01471</t>
  </si>
  <si>
    <t>MAVARE PEREZ LISBETH</t>
  </si>
  <si>
    <t>PIÑA  RAMON</t>
  </si>
  <si>
    <t>SANCHEZ HERNAN</t>
  </si>
  <si>
    <t>ALVAREZ  HAYRLEN</t>
  </si>
  <si>
    <t>13268457</t>
  </si>
  <si>
    <t>01530</t>
  </si>
  <si>
    <t>5238236</t>
  </si>
  <si>
    <t>01738</t>
  </si>
  <si>
    <t>7360346</t>
  </si>
  <si>
    <t>02044</t>
  </si>
  <si>
    <t>15959808</t>
  </si>
  <si>
    <t>00198</t>
  </si>
  <si>
    <t>11594236</t>
  </si>
  <si>
    <t>00512</t>
  </si>
  <si>
    <t>DURAN JESUS ALEXANDER</t>
  </si>
  <si>
    <t>524635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</si>
</sst>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sz val="8"/>
      <name val="Agency FB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1"/>
    <xf numFmtId="0" fontId="3" fillId="0" borderId="0" xfId="1" applyFont="1" applyAlignme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Border="1"/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right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5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49" fontId="13" fillId="0" borderId="0" xfId="1" applyNumberFormat="1" applyFont="1" applyFill="1" applyBorder="1" applyAlignment="1">
      <alignment horizontal="center"/>
    </xf>
    <xf numFmtId="167" fontId="16" fillId="0" borderId="0" xfId="1" applyNumberFormat="1" applyFont="1" applyBorder="1"/>
    <xf numFmtId="49" fontId="16" fillId="0" borderId="0" xfId="1" applyNumberFormat="1" applyFont="1" applyBorder="1"/>
    <xf numFmtId="0" fontId="16" fillId="0" borderId="0" xfId="1" applyFont="1" applyBorder="1"/>
    <xf numFmtId="2" fontId="13" fillId="0" borderId="0" xfId="1" applyNumberFormat="1" applyFont="1" applyBorder="1" applyAlignment="1">
      <alignment horizontal="center"/>
    </xf>
    <xf numFmtId="2" fontId="13" fillId="0" borderId="0" xfId="1" applyNumberFormat="1" applyFont="1" applyBorder="1"/>
    <xf numFmtId="2" fontId="13" fillId="0" borderId="0" xfId="1" applyNumberFormat="1" applyFont="1" applyFill="1" applyBorder="1" applyAlignment="1">
      <alignment horizontal="right"/>
    </xf>
    <xf numFmtId="164" fontId="17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164" fontId="18" fillId="0" borderId="0" xfId="0" applyNumberFormat="1" applyFont="1"/>
    <xf numFmtId="49" fontId="6" fillId="0" borderId="7" xfId="1" applyNumberFormat="1" applyFont="1" applyBorder="1" applyAlignment="1">
      <alignment horizontal="center"/>
    </xf>
    <xf numFmtId="49" fontId="1" fillId="0" borderId="0" xfId="1" applyNumberFormat="1"/>
    <xf numFmtId="49" fontId="0" fillId="0" borderId="0" xfId="0" applyNumberFormat="1"/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161924</xdr:rowOff>
    </xdr:from>
    <xdr:to>
      <xdr:col>2</xdr:col>
      <xdr:colOff>180975</xdr:colOff>
      <xdr:row>6</xdr:row>
      <xdr:rowOff>85724</xdr:rowOff>
    </xdr:to>
    <xdr:pic>
      <xdr:nvPicPr>
        <xdr:cNvPr id="2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52424"/>
          <a:ext cx="952500" cy="8858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M30"/>
  <sheetViews>
    <sheetView tabSelected="1" workbookViewId="0">
      <selection activeCell="M28" sqref="M28"/>
    </sheetView>
  </sheetViews>
  <sheetFormatPr baseColWidth="10" defaultRowHeight="15" x14ac:dyDescent="0.25"/>
  <cols>
    <col min="1" max="1" width="6.7109375" customWidth="1"/>
    <col min="2" max="2" width="7.140625" style="41" customWidth="1"/>
    <col min="3" max="3" width="7" customWidth="1"/>
    <col min="4" max="4" width="20.7109375" customWidth="1"/>
    <col min="5" max="5" width="8.42578125" customWidth="1"/>
    <col min="6" max="6" width="7.42578125" customWidth="1"/>
    <col min="7" max="7" width="7.28515625" customWidth="1"/>
    <col min="8" max="8" width="7.85546875" customWidth="1"/>
    <col min="9" max="9" width="6.5703125" customWidth="1"/>
    <col min="10" max="10" width="6.42578125" customWidth="1"/>
    <col min="11" max="11" width="8.28515625" customWidth="1"/>
  </cols>
  <sheetData>
    <row r="1" spans="1:12" ht="15.75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6"/>
    </row>
    <row r="2" spans="1:12" x14ac:dyDescent="0.2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17"/>
    </row>
    <row r="3" spans="1:12" x14ac:dyDescent="0.25">
      <c r="A3" s="45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18"/>
    </row>
    <row r="4" spans="1:12" x14ac:dyDescent="0.25">
      <c r="A4" s="46" t="s">
        <v>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0"/>
    </row>
    <row r="5" spans="1:12" x14ac:dyDescent="0.25">
      <c r="A5" s="47" t="s">
        <v>17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21"/>
    </row>
    <row r="6" spans="1:12" x14ac:dyDescent="0.25">
      <c r="A6" s="42" t="s">
        <v>21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20"/>
    </row>
    <row r="7" spans="1:12" x14ac:dyDescent="0.25">
      <c r="A7" s="9" t="s">
        <v>4</v>
      </c>
      <c r="B7" s="39" t="s">
        <v>5</v>
      </c>
      <c r="C7" s="8" t="s">
        <v>6</v>
      </c>
      <c r="D7" s="23" t="s">
        <v>18</v>
      </c>
      <c r="E7" s="23" t="s">
        <v>8</v>
      </c>
      <c r="F7" s="10" t="s">
        <v>9</v>
      </c>
      <c r="G7" s="10" t="s">
        <v>11</v>
      </c>
      <c r="H7" s="24" t="s">
        <v>19</v>
      </c>
      <c r="I7" s="23" t="s">
        <v>7</v>
      </c>
      <c r="J7" s="22" t="s">
        <v>10</v>
      </c>
      <c r="K7" s="10" t="s">
        <v>12</v>
      </c>
      <c r="L7" s="1"/>
    </row>
    <row r="8" spans="1:12" x14ac:dyDescent="0.25">
      <c r="A8" s="25">
        <v>41339</v>
      </c>
      <c r="B8" s="13" t="s">
        <v>53</v>
      </c>
      <c r="C8" s="13" t="s">
        <v>54</v>
      </c>
      <c r="D8" s="14" t="s">
        <v>46</v>
      </c>
      <c r="E8" s="12">
        <v>482.67</v>
      </c>
      <c r="F8" s="12">
        <v>61.6</v>
      </c>
      <c r="G8" s="12">
        <v>18.43</v>
      </c>
      <c r="H8" s="12">
        <v>439.5</v>
      </c>
      <c r="I8" s="19">
        <v>524606</v>
      </c>
      <c r="J8" s="27">
        <f>H8*5%</f>
        <v>21.975000000000001</v>
      </c>
      <c r="K8" s="27">
        <f t="shared" ref="K8:K22" si="0">H8-J8</f>
        <v>417.52499999999998</v>
      </c>
      <c r="L8" s="1"/>
    </row>
    <row r="9" spans="1:12" x14ac:dyDescent="0.25">
      <c r="A9" s="25">
        <v>41340</v>
      </c>
      <c r="B9" s="13" t="s">
        <v>53</v>
      </c>
      <c r="C9" s="13" t="s">
        <v>54</v>
      </c>
      <c r="D9" s="14" t="s">
        <v>46</v>
      </c>
      <c r="E9" s="12">
        <v>125</v>
      </c>
      <c r="F9" s="12">
        <v>0</v>
      </c>
      <c r="G9" s="12">
        <v>15</v>
      </c>
      <c r="H9" s="12">
        <v>140</v>
      </c>
      <c r="I9" s="19">
        <v>524607</v>
      </c>
      <c r="J9" s="27">
        <v>0</v>
      </c>
      <c r="K9" s="27">
        <f t="shared" si="0"/>
        <v>140</v>
      </c>
      <c r="L9" s="1"/>
    </row>
    <row r="10" spans="1:12" x14ac:dyDescent="0.25">
      <c r="A10" s="25">
        <v>41340</v>
      </c>
      <c r="B10" s="13" t="s">
        <v>37</v>
      </c>
      <c r="C10" s="13" t="s">
        <v>38</v>
      </c>
      <c r="D10" s="14" t="s">
        <v>28</v>
      </c>
      <c r="E10" s="12">
        <v>133.58000000000001</v>
      </c>
      <c r="F10" s="12">
        <v>11</v>
      </c>
      <c r="G10" s="12">
        <v>9.43</v>
      </c>
      <c r="H10" s="12">
        <v>132.01</v>
      </c>
      <c r="I10" s="19">
        <v>524545</v>
      </c>
      <c r="J10" s="27">
        <f>H10*5%</f>
        <v>6.6005000000000003</v>
      </c>
      <c r="K10" s="27">
        <f t="shared" si="0"/>
        <v>125.40949999999999</v>
      </c>
      <c r="L10" s="1"/>
    </row>
    <row r="11" spans="1:12" x14ac:dyDescent="0.25">
      <c r="A11" s="25">
        <v>41340</v>
      </c>
      <c r="B11" s="13" t="s">
        <v>31</v>
      </c>
      <c r="C11" s="13" t="s">
        <v>32</v>
      </c>
      <c r="D11" s="14" t="s">
        <v>25</v>
      </c>
      <c r="E11" s="12">
        <v>271.29000000000002</v>
      </c>
      <c r="F11" s="12">
        <v>52</v>
      </c>
      <c r="G11" s="12">
        <v>0</v>
      </c>
      <c r="H11" s="12">
        <v>219.29</v>
      </c>
      <c r="I11" s="19">
        <v>524531</v>
      </c>
      <c r="J11" s="27">
        <f>H11*5%</f>
        <v>10.964500000000001</v>
      </c>
      <c r="K11" s="27">
        <f t="shared" si="0"/>
        <v>208.32549999999998</v>
      </c>
      <c r="L11" s="1"/>
    </row>
    <row r="12" spans="1:12" x14ac:dyDescent="0.25">
      <c r="A12" s="25">
        <v>41340</v>
      </c>
      <c r="B12" s="13" t="s">
        <v>55</v>
      </c>
      <c r="C12" s="13" t="s">
        <v>56</v>
      </c>
      <c r="D12" s="14" t="s">
        <v>57</v>
      </c>
      <c r="E12" s="12">
        <v>197.81</v>
      </c>
      <c r="F12" s="12">
        <v>16</v>
      </c>
      <c r="G12" s="12">
        <v>4.88</v>
      </c>
      <c r="H12" s="12">
        <v>186.69</v>
      </c>
      <c r="I12" s="19" t="s">
        <v>58</v>
      </c>
      <c r="J12" s="27">
        <f>H12*5%</f>
        <v>9.3345000000000002</v>
      </c>
      <c r="K12" s="27">
        <f t="shared" si="0"/>
        <v>177.35550000000001</v>
      </c>
      <c r="L12" s="1"/>
    </row>
    <row r="13" spans="1:12" x14ac:dyDescent="0.25">
      <c r="A13" s="25">
        <v>41340</v>
      </c>
      <c r="B13" s="13" t="s">
        <v>23</v>
      </c>
      <c r="C13" s="13" t="s">
        <v>24</v>
      </c>
      <c r="D13" s="14" t="s">
        <v>22</v>
      </c>
      <c r="E13" s="12">
        <v>660</v>
      </c>
      <c r="F13" s="12">
        <v>132</v>
      </c>
      <c r="G13" s="12">
        <v>0</v>
      </c>
      <c r="H13" s="12">
        <v>528</v>
      </c>
      <c r="I13" s="19">
        <v>524505</v>
      </c>
      <c r="J13" s="27">
        <f>H13*5%</f>
        <v>26.400000000000002</v>
      </c>
      <c r="K13" s="27">
        <f t="shared" si="0"/>
        <v>501.6</v>
      </c>
      <c r="L13" s="1"/>
    </row>
    <row r="14" spans="1:12" x14ac:dyDescent="0.25">
      <c r="A14" s="25">
        <v>41340</v>
      </c>
      <c r="B14" s="13" t="s">
        <v>33</v>
      </c>
      <c r="C14" s="13" t="s">
        <v>34</v>
      </c>
      <c r="D14" s="14" t="s">
        <v>26</v>
      </c>
      <c r="E14" s="12">
        <v>396.57</v>
      </c>
      <c r="F14" s="12">
        <v>63.6</v>
      </c>
      <c r="G14" s="12">
        <v>9.43</v>
      </c>
      <c r="H14" s="12">
        <v>342.4</v>
      </c>
      <c r="I14" s="19">
        <v>524534</v>
      </c>
      <c r="J14" s="27">
        <f>H14*5%</f>
        <v>17.12</v>
      </c>
      <c r="K14" s="27">
        <f t="shared" si="0"/>
        <v>325.27999999999997</v>
      </c>
      <c r="L14" s="1"/>
    </row>
    <row r="15" spans="1:12" x14ac:dyDescent="0.25">
      <c r="A15" s="25">
        <v>41340</v>
      </c>
      <c r="B15" s="13" t="s">
        <v>47</v>
      </c>
      <c r="C15" s="13" t="s">
        <v>48</v>
      </c>
      <c r="D15" s="14" t="s">
        <v>43</v>
      </c>
      <c r="E15" s="12">
        <v>98.36</v>
      </c>
      <c r="F15" s="12">
        <v>0</v>
      </c>
      <c r="G15" s="12">
        <v>0</v>
      </c>
      <c r="H15" s="12">
        <v>98.36</v>
      </c>
      <c r="I15" s="19">
        <v>524578</v>
      </c>
      <c r="J15" s="27">
        <v>0</v>
      </c>
      <c r="K15" s="27">
        <f t="shared" si="0"/>
        <v>98.36</v>
      </c>
      <c r="L15" s="1"/>
    </row>
    <row r="16" spans="1:12" x14ac:dyDescent="0.25">
      <c r="A16" s="25">
        <v>41340</v>
      </c>
      <c r="B16" s="13" t="s">
        <v>41</v>
      </c>
      <c r="C16" s="13" t="s">
        <v>42</v>
      </c>
      <c r="D16" s="14" t="s">
        <v>30</v>
      </c>
      <c r="E16" s="12">
        <v>129.79</v>
      </c>
      <c r="F16" s="12">
        <v>22.4</v>
      </c>
      <c r="G16" s="12">
        <v>0</v>
      </c>
      <c r="H16" s="12">
        <v>107.39</v>
      </c>
      <c r="I16" s="19">
        <v>524565</v>
      </c>
      <c r="J16" s="27">
        <f t="shared" ref="J16:J22" si="1">H16*5%</f>
        <v>5.3695000000000004</v>
      </c>
      <c r="K16" s="27">
        <f t="shared" si="0"/>
        <v>102.0205</v>
      </c>
      <c r="L16" s="1"/>
    </row>
    <row r="17" spans="1:13" x14ac:dyDescent="0.25">
      <c r="A17" s="25">
        <v>41341</v>
      </c>
      <c r="B17" s="13" t="s">
        <v>41</v>
      </c>
      <c r="C17" s="13" t="s">
        <v>42</v>
      </c>
      <c r="D17" s="14" t="s">
        <v>30</v>
      </c>
      <c r="E17" s="12">
        <v>70</v>
      </c>
      <c r="F17" s="12">
        <v>14</v>
      </c>
      <c r="G17" s="12">
        <v>0</v>
      </c>
      <c r="H17" s="12">
        <v>56</v>
      </c>
      <c r="I17" s="19">
        <v>524566</v>
      </c>
      <c r="J17" s="27">
        <f t="shared" si="1"/>
        <v>2.8000000000000003</v>
      </c>
      <c r="K17" s="27">
        <f t="shared" si="0"/>
        <v>53.2</v>
      </c>
      <c r="L17" s="1"/>
    </row>
    <row r="18" spans="1:13" x14ac:dyDescent="0.25">
      <c r="A18" s="25">
        <v>41341</v>
      </c>
      <c r="B18" s="13" t="s">
        <v>35</v>
      </c>
      <c r="C18" s="13" t="s">
        <v>36</v>
      </c>
      <c r="D18" s="14" t="s">
        <v>27</v>
      </c>
      <c r="E18" s="12">
        <v>147.46</v>
      </c>
      <c r="F18" s="12">
        <v>19.600000000000001</v>
      </c>
      <c r="G18" s="12">
        <v>4.88</v>
      </c>
      <c r="H18" s="12">
        <v>132.74</v>
      </c>
      <c r="I18" s="19">
        <v>524539</v>
      </c>
      <c r="J18" s="27">
        <f t="shared" si="1"/>
        <v>6.6370000000000005</v>
      </c>
      <c r="K18" s="27">
        <f t="shared" si="0"/>
        <v>126.10300000000001</v>
      </c>
      <c r="M18" s="15"/>
    </row>
    <row r="19" spans="1:13" x14ac:dyDescent="0.25">
      <c r="A19" s="25">
        <v>41341</v>
      </c>
      <c r="B19" s="13" t="s">
        <v>49</v>
      </c>
      <c r="C19" s="13" t="s">
        <v>50</v>
      </c>
      <c r="D19" s="14" t="s">
        <v>44</v>
      </c>
      <c r="E19" s="12">
        <v>340</v>
      </c>
      <c r="F19" s="12">
        <v>68</v>
      </c>
      <c r="G19" s="12">
        <v>0</v>
      </c>
      <c r="H19" s="12">
        <v>272</v>
      </c>
      <c r="I19" s="19">
        <v>524580</v>
      </c>
      <c r="J19" s="27">
        <f t="shared" si="1"/>
        <v>13.600000000000001</v>
      </c>
      <c r="K19" s="27">
        <f t="shared" si="0"/>
        <v>258.39999999999998</v>
      </c>
    </row>
    <row r="20" spans="1:13" x14ac:dyDescent="0.25">
      <c r="A20" s="25">
        <v>41341</v>
      </c>
      <c r="B20" s="13" t="s">
        <v>39</v>
      </c>
      <c r="C20" s="13" t="s">
        <v>40</v>
      </c>
      <c r="D20" s="14" t="s">
        <v>29</v>
      </c>
      <c r="E20" s="12">
        <v>555</v>
      </c>
      <c r="F20" s="12">
        <v>111</v>
      </c>
      <c r="G20" s="12">
        <v>0</v>
      </c>
      <c r="H20" s="12">
        <v>444</v>
      </c>
      <c r="I20" s="19">
        <v>524550</v>
      </c>
      <c r="J20" s="27">
        <f t="shared" si="1"/>
        <v>22.200000000000003</v>
      </c>
      <c r="K20" s="27">
        <f t="shared" si="0"/>
        <v>421.8</v>
      </c>
    </row>
    <row r="21" spans="1:13" x14ac:dyDescent="0.25">
      <c r="A21" s="25">
        <v>41341</v>
      </c>
      <c r="B21" s="13" t="s">
        <v>39</v>
      </c>
      <c r="C21" s="13" t="s">
        <v>40</v>
      </c>
      <c r="D21" s="14" t="s">
        <v>29</v>
      </c>
      <c r="E21" s="12">
        <v>96</v>
      </c>
      <c r="F21" s="12">
        <v>18</v>
      </c>
      <c r="G21" s="12">
        <v>0</v>
      </c>
      <c r="H21" s="12">
        <v>78</v>
      </c>
      <c r="I21" s="19">
        <v>524551</v>
      </c>
      <c r="J21" s="27">
        <f t="shared" si="1"/>
        <v>3.9000000000000004</v>
      </c>
      <c r="K21" s="27">
        <f t="shared" si="0"/>
        <v>74.099999999999994</v>
      </c>
      <c r="M21" s="15"/>
    </row>
    <row r="22" spans="1:13" x14ac:dyDescent="0.25">
      <c r="A22" s="25">
        <v>41342</v>
      </c>
      <c r="B22" s="13" t="s">
        <v>51</v>
      </c>
      <c r="C22" s="13" t="s">
        <v>52</v>
      </c>
      <c r="D22" s="14" t="s">
        <v>45</v>
      </c>
      <c r="E22" s="12">
        <v>436</v>
      </c>
      <c r="F22" s="12">
        <v>87.2</v>
      </c>
      <c r="G22" s="12">
        <v>0</v>
      </c>
      <c r="H22" s="12">
        <v>348.8</v>
      </c>
      <c r="I22" s="19">
        <v>524599</v>
      </c>
      <c r="J22" s="27">
        <f t="shared" si="1"/>
        <v>17.440000000000001</v>
      </c>
      <c r="K22" s="27">
        <f t="shared" si="0"/>
        <v>331.36</v>
      </c>
    </row>
    <row r="23" spans="1:13" x14ac:dyDescent="0.25">
      <c r="A23" s="54"/>
      <c r="B23" s="54"/>
      <c r="C23" s="54"/>
      <c r="D23" s="54"/>
      <c r="E23" s="28">
        <f>SUM(E8:E22)</f>
        <v>4139.5300000000007</v>
      </c>
      <c r="F23" s="28">
        <f>SUM(F8:F22)</f>
        <v>676.40000000000009</v>
      </c>
      <c r="G23" s="28">
        <f>SUM(G8:G22)</f>
        <v>62.050000000000004</v>
      </c>
      <c r="H23" s="28">
        <f>SUM(H8:H22)</f>
        <v>3525.1800000000003</v>
      </c>
      <c r="I23" s="28"/>
      <c r="J23" s="28">
        <f>SUM(J8:J22)</f>
        <v>164.34100000000004</v>
      </c>
      <c r="K23" s="28">
        <f>SUM(K8:K22)</f>
        <v>3360.8389999999999</v>
      </c>
      <c r="M23" s="15"/>
    </row>
    <row r="24" spans="1:13" x14ac:dyDescent="0.25">
      <c r="A24" s="30"/>
      <c r="B24" s="31"/>
      <c r="C24" s="31"/>
      <c r="D24" s="32"/>
      <c r="E24" s="33"/>
      <c r="F24" s="34"/>
      <c r="G24" s="34"/>
      <c r="H24" s="35"/>
      <c r="I24" s="29"/>
      <c r="J24" s="36"/>
      <c r="K24" s="37"/>
    </row>
    <row r="25" spans="1:13" x14ac:dyDescent="0.25">
      <c r="A25" s="1"/>
      <c r="B25" s="40"/>
      <c r="C25" s="1"/>
      <c r="D25" s="1"/>
      <c r="E25" s="6"/>
      <c r="F25" s="4"/>
      <c r="G25" s="4"/>
      <c r="H25" s="7"/>
      <c r="I25" s="7"/>
      <c r="J25" s="11"/>
      <c r="K25" s="3"/>
    </row>
    <row r="26" spans="1:13" x14ac:dyDescent="0.25">
      <c r="A26" s="2"/>
      <c r="B26" s="55" t="s">
        <v>13</v>
      </c>
      <c r="C26" s="56"/>
      <c r="D26" s="57"/>
      <c r="E26" s="58" t="s">
        <v>14</v>
      </c>
      <c r="F26" s="58"/>
      <c r="G26" s="58"/>
      <c r="H26" s="58"/>
      <c r="I26" s="58"/>
      <c r="J26" s="59"/>
      <c r="K26" s="5"/>
    </row>
    <row r="27" spans="1:13" x14ac:dyDescent="0.25">
      <c r="A27" s="2"/>
      <c r="B27" s="60"/>
      <c r="C27" s="61"/>
      <c r="D27" s="62"/>
      <c r="E27" s="66"/>
      <c r="F27" s="67"/>
      <c r="G27" s="67"/>
      <c r="H27" s="67"/>
      <c r="I27" s="67"/>
      <c r="J27" s="68"/>
      <c r="K27" s="5"/>
    </row>
    <row r="28" spans="1:13" x14ac:dyDescent="0.25">
      <c r="A28" s="1"/>
      <c r="B28" s="63"/>
      <c r="C28" s="64"/>
      <c r="D28" s="65"/>
      <c r="E28" s="69"/>
      <c r="F28" s="70"/>
      <c r="G28" s="70"/>
      <c r="H28" s="70"/>
      <c r="I28" s="70"/>
      <c r="J28" s="71"/>
      <c r="K28" s="1"/>
    </row>
    <row r="29" spans="1:13" x14ac:dyDescent="0.25">
      <c r="A29" s="1"/>
      <c r="B29" s="48" t="s">
        <v>15</v>
      </c>
      <c r="C29" s="49"/>
      <c r="D29" s="50"/>
      <c r="E29" s="51" t="s">
        <v>16</v>
      </c>
      <c r="F29" s="52"/>
      <c r="G29" s="52"/>
      <c r="H29" s="52"/>
      <c r="I29" s="52"/>
      <c r="J29" s="53"/>
      <c r="K29" s="1"/>
    </row>
    <row r="30" spans="1:13" x14ac:dyDescent="0.25">
      <c r="M30" s="15"/>
    </row>
  </sheetData>
  <sortState ref="D8:K22">
    <sortCondition ref="D8"/>
  </sortState>
  <mergeCells count="13">
    <mergeCell ref="B29:D29"/>
    <mergeCell ref="E29:J29"/>
    <mergeCell ref="A23:D23"/>
    <mergeCell ref="B26:D26"/>
    <mergeCell ref="E26:J26"/>
    <mergeCell ref="B27:D28"/>
    <mergeCell ref="E27:J28"/>
    <mergeCell ref="A6:K6"/>
    <mergeCell ref="A1:K1"/>
    <mergeCell ref="A2:K2"/>
    <mergeCell ref="A3:K3"/>
    <mergeCell ref="A4:K4"/>
    <mergeCell ref="A5:K5"/>
  </mergeCells>
  <printOptions horizontalCentered="1"/>
  <pageMargins left="0" right="0" top="0" bottom="0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K18"/>
  <sheetViews>
    <sheetView topLeftCell="A5" workbookViewId="0">
      <selection activeCell="A9" sqref="A9:I11"/>
    </sheetView>
  </sheetViews>
  <sheetFormatPr baseColWidth="10" defaultRowHeight="15" x14ac:dyDescent="0.25"/>
  <cols>
    <col min="1" max="1" width="6.140625" customWidth="1"/>
    <col min="2" max="2" width="7.5703125" customWidth="1"/>
    <col min="3" max="3" width="6.85546875" customWidth="1"/>
    <col min="4" max="4" width="17.28515625" customWidth="1"/>
    <col min="5" max="5" width="6.7109375" customWidth="1"/>
    <col min="6" max="6" width="6.85546875" customWidth="1"/>
    <col min="7" max="7" width="5.28515625" customWidth="1"/>
    <col min="8" max="8" width="7.7109375" customWidth="1"/>
    <col min="9" max="9" width="6.28515625" customWidth="1"/>
    <col min="10" max="10" width="6" customWidth="1"/>
    <col min="11" max="11" width="7.28515625" customWidth="1"/>
  </cols>
  <sheetData>
    <row r="2" spans="1:11" ht="15.75" x14ac:dyDescent="0.3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25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x14ac:dyDescent="0.25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x14ac:dyDescent="0.25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1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47"/>
    </row>
    <row r="7" spans="1:11" x14ac:dyDescent="0.25">
      <c r="A7" s="42" t="s">
        <v>20</v>
      </c>
      <c r="B7" s="42"/>
      <c r="C7" s="42"/>
      <c r="D7" s="42"/>
      <c r="E7" s="42"/>
      <c r="F7" s="42"/>
      <c r="G7" s="42"/>
      <c r="H7" s="42"/>
      <c r="I7" s="42"/>
      <c r="J7" s="42"/>
      <c r="K7" s="42"/>
    </row>
    <row r="8" spans="1:11" x14ac:dyDescent="0.25">
      <c r="A8" s="9" t="s">
        <v>4</v>
      </c>
      <c r="B8" s="8" t="s">
        <v>5</v>
      </c>
      <c r="C8" s="8" t="s">
        <v>6</v>
      </c>
      <c r="D8" s="23" t="s">
        <v>18</v>
      </c>
      <c r="E8" s="23" t="s">
        <v>8</v>
      </c>
      <c r="F8" s="10" t="s">
        <v>9</v>
      </c>
      <c r="G8" s="10" t="s">
        <v>11</v>
      </c>
      <c r="H8" s="24" t="s">
        <v>19</v>
      </c>
      <c r="I8" s="23" t="s">
        <v>7</v>
      </c>
      <c r="J8" s="22" t="s">
        <v>10</v>
      </c>
      <c r="K8" s="10" t="s">
        <v>12</v>
      </c>
    </row>
    <row r="9" spans="1:11" x14ac:dyDescent="0.25">
      <c r="A9" s="25"/>
      <c r="B9" s="26"/>
      <c r="C9" s="13"/>
      <c r="D9" s="14"/>
      <c r="E9" s="12"/>
      <c r="F9" s="12"/>
      <c r="G9" s="12"/>
      <c r="H9" s="12"/>
      <c r="I9" s="19"/>
      <c r="J9" s="27">
        <f>H9*5%</f>
        <v>0</v>
      </c>
      <c r="K9" s="27">
        <f>H9-J9</f>
        <v>0</v>
      </c>
    </row>
    <row r="10" spans="1:11" x14ac:dyDescent="0.25">
      <c r="A10" s="25"/>
      <c r="B10" s="26"/>
      <c r="C10" s="13"/>
      <c r="D10" s="14"/>
      <c r="E10" s="12"/>
      <c r="F10" s="12"/>
      <c r="G10" s="12"/>
      <c r="H10" s="12"/>
      <c r="I10" s="19"/>
      <c r="J10" s="27">
        <f t="shared" ref="J10:J11" si="0">H10*5%</f>
        <v>0</v>
      </c>
      <c r="K10" s="27">
        <f t="shared" ref="K10:K11" si="1">H10-J10</f>
        <v>0</v>
      </c>
    </row>
    <row r="11" spans="1:11" x14ac:dyDescent="0.25">
      <c r="A11" s="25"/>
      <c r="B11" s="26"/>
      <c r="C11" s="13"/>
      <c r="D11" s="14"/>
      <c r="E11" s="12"/>
      <c r="F11" s="12"/>
      <c r="G11" s="12"/>
      <c r="H11" s="12"/>
      <c r="I11" s="19"/>
      <c r="J11" s="27">
        <f t="shared" si="0"/>
        <v>0</v>
      </c>
      <c r="K11" s="27">
        <f t="shared" si="1"/>
        <v>0</v>
      </c>
    </row>
    <row r="12" spans="1:11" x14ac:dyDescent="0.25">
      <c r="E12" s="38">
        <f t="shared" ref="E12:H12" si="2">SUM(E9:E11)</f>
        <v>0</v>
      </c>
      <c r="F12" s="38">
        <f t="shared" si="2"/>
        <v>0</v>
      </c>
      <c r="G12" s="38">
        <f t="shared" si="2"/>
        <v>0</v>
      </c>
      <c r="H12" s="38">
        <f t="shared" si="2"/>
        <v>0</v>
      </c>
      <c r="I12" s="38"/>
      <c r="J12" s="38">
        <f>SUM(J9:J11)</f>
        <v>0</v>
      </c>
      <c r="K12" s="38">
        <f>SUM(K9:K11)</f>
        <v>0</v>
      </c>
    </row>
    <row r="15" spans="1:11" x14ac:dyDescent="0.25">
      <c r="B15" s="55" t="s">
        <v>13</v>
      </c>
      <c r="C15" s="56"/>
      <c r="D15" s="57"/>
      <c r="E15" s="58" t="s">
        <v>14</v>
      </c>
      <c r="F15" s="58"/>
      <c r="G15" s="58"/>
      <c r="H15" s="58"/>
      <c r="I15" s="58"/>
      <c r="J15" s="59"/>
    </row>
    <row r="16" spans="1:11" x14ac:dyDescent="0.25">
      <c r="B16" s="60"/>
      <c r="C16" s="61"/>
      <c r="D16" s="62"/>
      <c r="E16" s="66"/>
      <c r="F16" s="67"/>
      <c r="G16" s="67"/>
      <c r="H16" s="67"/>
      <c r="I16" s="67"/>
      <c r="J16" s="68"/>
    </row>
    <row r="17" spans="2:10" x14ac:dyDescent="0.25">
      <c r="B17" s="63"/>
      <c r="C17" s="64"/>
      <c r="D17" s="65"/>
      <c r="E17" s="69"/>
      <c r="F17" s="70"/>
      <c r="G17" s="70"/>
      <c r="H17" s="70"/>
      <c r="I17" s="70"/>
      <c r="J17" s="71"/>
    </row>
    <row r="18" spans="2:10" x14ac:dyDescent="0.25">
      <c r="B18" s="48" t="s">
        <v>15</v>
      </c>
      <c r="C18" s="49"/>
      <c r="D18" s="50"/>
      <c r="E18" s="51" t="s">
        <v>16</v>
      </c>
      <c r="F18" s="52"/>
      <c r="G18" s="52"/>
      <c r="H18" s="52"/>
      <c r="I18" s="52"/>
      <c r="J18" s="53"/>
    </row>
  </sheetData>
  <mergeCells count="12">
    <mergeCell ref="A7:K7"/>
    <mergeCell ref="A2:K2"/>
    <mergeCell ref="A3:K3"/>
    <mergeCell ref="A4:K4"/>
    <mergeCell ref="A5:K5"/>
    <mergeCell ref="A6:K6"/>
    <mergeCell ref="B15:D15"/>
    <mergeCell ref="E15:J15"/>
    <mergeCell ref="B16:D17"/>
    <mergeCell ref="E16:J17"/>
    <mergeCell ref="B18:D18"/>
    <mergeCell ref="E18:J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EMPLEADOS CAPPO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2013-03-10T15:23:31Z</cp:lastPrinted>
  <dcterms:created xsi:type="dcterms:W3CDTF">2011-11-14T15:12:23Z</dcterms:created>
  <dcterms:modified xsi:type="dcterms:W3CDTF">2013-04-11T16:33:02Z</dcterms:modified>
</cp:coreProperties>
</file>