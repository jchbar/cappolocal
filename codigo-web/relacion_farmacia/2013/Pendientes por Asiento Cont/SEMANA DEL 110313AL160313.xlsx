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35" windowHeight="8130"/>
  </bookViews>
  <sheets>
    <sheet name="CAPPO" sheetId="1" r:id="rId1"/>
    <sheet name="EMPLEADOS CAPPO" sheetId="2" r:id="rId2"/>
  </sheets>
  <calcPr calcId="144525"/>
</workbook>
</file>

<file path=xl/calcChain.xml><?xml version="1.0" encoding="utf-8"?>
<calcChain xmlns="http://schemas.openxmlformats.org/spreadsheetml/2006/main">
  <c r="H50" i="1" l="1"/>
  <c r="G50" i="1"/>
  <c r="F50" i="1"/>
  <c r="E50" i="1"/>
  <c r="J20" i="1"/>
  <c r="J32" i="1"/>
  <c r="J33" i="1"/>
  <c r="J9" i="1"/>
  <c r="J10" i="1"/>
  <c r="J12" i="1"/>
  <c r="J29" i="1"/>
  <c r="J15" i="1"/>
  <c r="J34" i="1"/>
  <c r="K34" i="1" s="1"/>
  <c r="J35" i="1"/>
  <c r="J26" i="1"/>
  <c r="J8" i="1"/>
  <c r="K8" i="1" s="1"/>
  <c r="J25" i="1"/>
  <c r="J44" i="1"/>
  <c r="J11" i="1"/>
  <c r="K11" i="1" s="1"/>
  <c r="J16" i="1"/>
  <c r="K16" i="1" s="1"/>
  <c r="J39" i="1"/>
  <c r="K39" i="1" s="1"/>
  <c r="J23" i="1"/>
  <c r="K23" i="1" s="1"/>
  <c r="J27" i="1"/>
  <c r="K27" i="1" s="1"/>
  <c r="J28" i="1"/>
  <c r="K28" i="1" s="1"/>
  <c r="J21" i="1"/>
  <c r="K21" i="1" s="1"/>
  <c r="J30" i="1"/>
  <c r="K30" i="1" s="1"/>
  <c r="J49" i="1"/>
  <c r="K49" i="1" s="1"/>
  <c r="J13" i="1"/>
  <c r="K13" i="1" s="1"/>
  <c r="J36" i="1"/>
  <c r="K36" i="1" s="1"/>
  <c r="J37" i="1"/>
  <c r="J31" i="1"/>
  <c r="K31" i="1" s="1"/>
  <c r="J40" i="1"/>
  <c r="J14" i="1"/>
  <c r="J18" i="1"/>
  <c r="J24" i="1"/>
  <c r="K24" i="1" s="1"/>
  <c r="J45" i="1"/>
  <c r="J46" i="1"/>
  <c r="K46" i="1" s="1"/>
  <c r="J47" i="1"/>
  <c r="K47" i="1" s="1"/>
  <c r="J22" i="1"/>
  <c r="K22" i="1" s="1"/>
  <c r="J19" i="1"/>
  <c r="K19" i="1" s="1"/>
  <c r="J41" i="1"/>
  <c r="K41" i="1" s="1"/>
  <c r="J42" i="1"/>
  <c r="J38" i="1"/>
  <c r="K38" i="1" s="1"/>
  <c r="J48" i="1"/>
  <c r="J17" i="1"/>
  <c r="K17" i="1" s="1"/>
  <c r="K33" i="1"/>
  <c r="K37" i="1"/>
  <c r="K29" i="1"/>
  <c r="K15" i="1"/>
  <c r="K18" i="1"/>
  <c r="K32" i="1"/>
  <c r="K35" i="1"/>
  <c r="K43" i="1"/>
  <c r="H12" i="2"/>
  <c r="G12" i="2"/>
  <c r="F12" i="2"/>
  <c r="E12" i="2"/>
  <c r="K10" i="1"/>
  <c r="K12" i="1"/>
  <c r="K14" i="1"/>
  <c r="K42" i="1"/>
  <c r="K26" i="1"/>
  <c r="K45" i="1"/>
  <c r="K20" i="1"/>
  <c r="K44" i="1"/>
  <c r="K9" i="1"/>
  <c r="K40" i="1"/>
  <c r="K48" i="1"/>
  <c r="J10" i="2"/>
  <c r="J11" i="2"/>
  <c r="K11" i="2" s="1"/>
  <c r="K10" i="2"/>
  <c r="J9" i="2"/>
  <c r="K9" i="2" s="1"/>
  <c r="K12" i="2" s="1"/>
  <c r="J50" i="1" l="1"/>
  <c r="J12" i="2"/>
  <c r="K25" i="1"/>
  <c r="K50" i="1" s="1"/>
</calcChain>
</file>

<file path=xl/sharedStrings.xml><?xml version="1.0" encoding="utf-8"?>
<sst xmlns="http://schemas.openxmlformats.org/spreadsheetml/2006/main" count="168" uniqueCount="124">
  <si>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</si>
  <si>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</si>
  <si>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</si>
  <si>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</si>
  <si>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</si>
  <si>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</si>
  <si>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</si>
  <si>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</si>
  <si>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</si>
  <si>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Clte.</t>
  </si>
  <si>
    <t>Dcto. Cap.</t>
  </si>
  <si>
    <t>IVA</t>
  </si>
  <si>
    <t>Neto</t>
  </si>
  <si>
    <t>Elaborado Por:</t>
  </si>
  <si>
    <t xml:space="preserve">Recibido: (Firma y Sello) </t>
  </si>
  <si>
    <t>Yuris Reyes</t>
  </si>
  <si>
    <t>CAPPO-UCLA</t>
  </si>
  <si>
    <t xml:space="preserve"> CAPPO - UCLA</t>
  </si>
  <si>
    <t>Cliente</t>
  </si>
  <si>
    <t>Total Factura</t>
  </si>
  <si>
    <t>Desde  01/02/13 Hasta: 16/02/13</t>
  </si>
  <si>
    <t>AMARO  ANA</t>
  </si>
  <si>
    <t>Desde  11/03/13 Hasta: 16/03/13</t>
  </si>
  <si>
    <t>DUARTE GUERRERO GENRRY</t>
  </si>
  <si>
    <t>GONZALEZ GERARDO</t>
  </si>
  <si>
    <t>RODRIGUEZ EDGAR</t>
  </si>
  <si>
    <t>ALVARADO  RAMON</t>
  </si>
  <si>
    <t>ARRIECHE P. SILVIO</t>
  </si>
  <si>
    <t>PEREZ  ROLANDO</t>
  </si>
  <si>
    <t>COLMENAREZ CARLOS</t>
  </si>
  <si>
    <t>SANCHEZ  MARLENE</t>
  </si>
  <si>
    <t>MENDOZA  ANGEL</t>
  </si>
  <si>
    <t>ALVARADO  OTTO</t>
  </si>
  <si>
    <t>MARTURET FREMIS</t>
  </si>
  <si>
    <t>URETA JORGE V.</t>
  </si>
  <si>
    <t>ANZOLA BLADIMIR</t>
  </si>
  <si>
    <t>CORRALES CLARISA</t>
  </si>
  <si>
    <t>SUAREZ JOSE</t>
  </si>
  <si>
    <t>LUCENA  JOSE</t>
  </si>
  <si>
    <t>MONTERO  YRDEFONSO</t>
  </si>
  <si>
    <t>GONZALEZ JORGE</t>
  </si>
  <si>
    <t>PIÑA RAFAEL</t>
  </si>
  <si>
    <t>VISCAYA PEDRO</t>
  </si>
  <si>
    <t>BUSTILLOS  KENET</t>
  </si>
  <si>
    <t>SUAREZ  ARMANCIO</t>
  </si>
  <si>
    <t>QUERALES NORYS</t>
  </si>
  <si>
    <t>TORRES PURA</t>
  </si>
  <si>
    <t>DURAN  ADRIAN</t>
  </si>
  <si>
    <t>UZCATEGUI MARGARITA</t>
  </si>
  <si>
    <t>FLORES PEREZ ALI</t>
  </si>
  <si>
    <t>CHIRINOS CARLOS GREGORIO</t>
  </si>
  <si>
    <t>MARIN CORDERO ANTONIO</t>
  </si>
  <si>
    <t>TORRES VIVAS JUVENAL</t>
  </si>
  <si>
    <t>7325722</t>
  </si>
  <si>
    <t>00128</t>
  </si>
  <si>
    <t>10784623</t>
  </si>
  <si>
    <t>00114</t>
  </si>
  <si>
    <t>7374616</t>
  </si>
  <si>
    <t>00112</t>
  </si>
  <si>
    <t>11269196</t>
  </si>
  <si>
    <t>00149</t>
  </si>
  <si>
    <t>12848719</t>
  </si>
  <si>
    <t>00174</t>
  </si>
  <si>
    <t>11414487</t>
  </si>
  <si>
    <t>00238</t>
  </si>
  <si>
    <t>7446644</t>
  </si>
  <si>
    <t>00366</t>
  </si>
  <si>
    <t>7316059</t>
  </si>
  <si>
    <t>00364</t>
  </si>
  <si>
    <t>9609337</t>
  </si>
  <si>
    <t>00343</t>
  </si>
  <si>
    <t>10846474</t>
  </si>
  <si>
    <t>00519</t>
  </si>
  <si>
    <t>4727740</t>
  </si>
  <si>
    <t>00500</t>
  </si>
  <si>
    <t>7432253</t>
  </si>
  <si>
    <t>00720</t>
  </si>
  <si>
    <t>7447067</t>
  </si>
  <si>
    <t>00936</t>
  </si>
  <si>
    <t>9547148</t>
  </si>
  <si>
    <t>00850</t>
  </si>
  <si>
    <t>GONZALEZ PINEDA KEIDA</t>
  </si>
  <si>
    <t>10845717</t>
  </si>
  <si>
    <t>00934</t>
  </si>
  <si>
    <t>5765952</t>
  </si>
  <si>
    <t>01333</t>
  </si>
  <si>
    <t>11883300</t>
  </si>
  <si>
    <t>01513</t>
  </si>
  <si>
    <t>11598956</t>
  </si>
  <si>
    <t>01412</t>
  </si>
  <si>
    <t>13679940</t>
  </si>
  <si>
    <t>01495</t>
  </si>
  <si>
    <t>6690236</t>
  </si>
  <si>
    <t>00105</t>
  </si>
  <si>
    <t>11598207</t>
  </si>
  <si>
    <t>18027</t>
  </si>
  <si>
    <t>10846940</t>
  </si>
  <si>
    <t>01719</t>
  </si>
  <si>
    <t>9557875</t>
  </si>
  <si>
    <t>01810</t>
  </si>
  <si>
    <t>7389581</t>
  </si>
  <si>
    <t>01989</t>
  </si>
  <si>
    <t>4071241</t>
  </si>
  <si>
    <t>02035</t>
  </si>
  <si>
    <t>9851111</t>
  </si>
  <si>
    <t>02064</t>
  </si>
  <si>
    <t>SUAREZ CASTILLO WINSTOR</t>
  </si>
  <si>
    <t>11425449</t>
  </si>
  <si>
    <t>02063</t>
  </si>
  <si>
    <t>7331943</t>
  </si>
  <si>
    <t>02030</t>
  </si>
  <si>
    <t>7983170</t>
  </si>
  <si>
    <t>02128</t>
  </si>
  <si>
    <t>5261139</t>
  </si>
  <si>
    <t>02109</t>
  </si>
  <si>
    <t>1566851</t>
  </si>
  <si>
    <t>02209</t>
  </si>
  <si>
    <t>673822</t>
  </si>
  <si>
    <t>02208</t>
  </si>
  <si>
    <t>VALECILLOS GIAN CARLOS</t>
  </si>
  <si>
    <t>15729536</t>
  </si>
  <si>
    <t>02343</t>
  </si>
  <si>
    <t>7449457</t>
  </si>
  <si>
    <t>02341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</si>
</sst>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10"/>
      <name val="Agency FB"/>
      <family val="2"/>
    </font>
    <font>
      <b/>
      <sz val="9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1"/>
    <xf numFmtId="0" fontId="3" fillId="0" borderId="0" xfId="1" applyFont="1" applyAlignment="1"/>
    <xf numFmtId="164" fontId="3" fillId="0" borderId="0" xfId="1" applyNumberFormat="1" applyFont="1" applyAlignment="1">
      <alignment horizontal="right"/>
    </xf>
    <xf numFmtId="165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11" fillId="0" borderId="7" xfId="0" applyNumberFormat="1" applyFont="1" applyBorder="1"/>
    <xf numFmtId="49" fontId="12" fillId="0" borderId="7" xfId="1" applyNumberFormat="1" applyFont="1" applyBorder="1" applyAlignment="1">
      <alignment horizontal="center"/>
    </xf>
    <xf numFmtId="0" fontId="11" fillId="0" borderId="7" xfId="0" applyFont="1" applyBorder="1"/>
    <xf numFmtId="164" fontId="0" fillId="0" borderId="0" xfId="0" applyNumberFormat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49" fontId="11" fillId="0" borderId="7" xfId="0" applyNumberFormat="1" applyFont="1" applyBorder="1" applyAlignment="1">
      <alignment horizontal="center"/>
    </xf>
    <xf numFmtId="0" fontId="7" fillId="0" borderId="0" xfId="1" applyFont="1" applyAlignment="1"/>
    <xf numFmtId="49" fontId="7" fillId="0" borderId="0" xfId="1" applyNumberFormat="1" applyFont="1" applyAlignment="1"/>
    <xf numFmtId="164" fontId="14" fillId="0" borderId="7" xfId="1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6" fillId="0" borderId="1" xfId="1" applyNumberFormat="1" applyFont="1" applyFill="1" applyBorder="1" applyAlignment="1"/>
    <xf numFmtId="167" fontId="12" fillId="0" borderId="7" xfId="1" applyNumberFormat="1" applyFont="1" applyBorder="1" applyAlignment="1">
      <alignment horizontal="center"/>
    </xf>
    <xf numFmtId="165" fontId="12" fillId="0" borderId="7" xfId="1" applyNumberFormat="1" applyFont="1" applyBorder="1" applyAlignment="1">
      <alignment horizontal="center"/>
    </xf>
    <xf numFmtId="164" fontId="12" fillId="0" borderId="7" xfId="1" applyNumberFormat="1" applyFont="1" applyBorder="1" applyAlignment="1">
      <alignment horizontal="center"/>
    </xf>
    <xf numFmtId="49" fontId="16" fillId="0" borderId="7" xfId="1" applyNumberFormat="1" applyFont="1" applyBorder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164" fontId="17" fillId="0" borderId="0" xfId="0" applyNumberFormat="1" applyFont="1"/>
    <xf numFmtId="49" fontId="6" fillId="0" borderId="7" xfId="1" applyNumberFormat="1" applyFont="1" applyBorder="1" applyAlignment="1">
      <alignment horizontal="center"/>
    </xf>
    <xf numFmtId="49" fontId="0" fillId="0" borderId="0" xfId="0" applyNumberFormat="1"/>
    <xf numFmtId="164" fontId="12" fillId="0" borderId="7" xfId="1" applyNumberFormat="1" applyFont="1" applyBorder="1" applyAlignment="1"/>
    <xf numFmtId="167" fontId="16" fillId="0" borderId="0" xfId="1" applyNumberFormat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7" fontId="16" fillId="0" borderId="0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3</xdr:col>
      <xdr:colOff>114299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161924</xdr:rowOff>
    </xdr:from>
    <xdr:to>
      <xdr:col>2</xdr:col>
      <xdr:colOff>180975</xdr:colOff>
      <xdr:row>6</xdr:row>
      <xdr:rowOff>85724</xdr:rowOff>
    </xdr:to>
    <xdr:pic>
      <xdr:nvPicPr>
        <xdr:cNvPr id="2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352424"/>
          <a:ext cx="952500" cy="8858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N55"/>
  <sheetViews>
    <sheetView tabSelected="1" workbookViewId="0">
      <selection activeCell="N46" sqref="N46"/>
    </sheetView>
  </sheetViews>
  <sheetFormatPr baseColWidth="10" defaultRowHeight="15" x14ac:dyDescent="0.25"/>
  <cols>
    <col min="1" max="1" width="6.7109375" customWidth="1"/>
    <col min="2" max="2" width="7.140625" style="27" customWidth="1"/>
    <col min="3" max="3" width="7" customWidth="1"/>
    <col min="4" max="4" width="20.7109375" customWidth="1"/>
    <col min="5" max="5" width="8.42578125" customWidth="1"/>
    <col min="6" max="6" width="7.42578125" customWidth="1"/>
    <col min="7" max="7" width="7.28515625" customWidth="1"/>
    <col min="8" max="8" width="7.85546875" customWidth="1"/>
    <col min="9" max="9" width="6.5703125" customWidth="1"/>
    <col min="10" max="10" width="7.42578125" customWidth="1"/>
    <col min="11" max="11" width="8.28515625" customWidth="1"/>
  </cols>
  <sheetData>
    <row r="1" spans="1:12" ht="15.75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11"/>
    </row>
    <row r="2" spans="1:12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12"/>
    </row>
    <row r="3" spans="1:12" x14ac:dyDescent="0.25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13"/>
    </row>
    <row r="4" spans="1:12" x14ac:dyDescent="0.25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15"/>
    </row>
    <row r="5" spans="1:12" x14ac:dyDescent="0.25">
      <c r="A5" s="35" t="s">
        <v>17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16"/>
    </row>
    <row r="6" spans="1:12" x14ac:dyDescent="0.25">
      <c r="A6" s="30" t="s">
        <v>22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15"/>
    </row>
    <row r="7" spans="1:12" x14ac:dyDescent="0.25">
      <c r="A7" s="5" t="s">
        <v>4</v>
      </c>
      <c r="B7" s="26" t="s">
        <v>5</v>
      </c>
      <c r="C7" s="4" t="s">
        <v>6</v>
      </c>
      <c r="D7" s="18" t="s">
        <v>18</v>
      </c>
      <c r="E7" s="18" t="s">
        <v>8</v>
      </c>
      <c r="F7" s="6" t="s">
        <v>9</v>
      </c>
      <c r="G7" s="6" t="s">
        <v>11</v>
      </c>
      <c r="H7" s="19" t="s">
        <v>19</v>
      </c>
      <c r="I7" s="18" t="s">
        <v>7</v>
      </c>
      <c r="J7" s="17" t="s">
        <v>10</v>
      </c>
      <c r="K7" s="6" t="s">
        <v>12</v>
      </c>
      <c r="L7" s="1"/>
    </row>
    <row r="8" spans="1:12" x14ac:dyDescent="0.25">
      <c r="A8" s="20">
        <v>41344</v>
      </c>
      <c r="B8" s="8" t="s">
        <v>53</v>
      </c>
      <c r="C8" s="8" t="s">
        <v>54</v>
      </c>
      <c r="D8" s="9" t="s">
        <v>32</v>
      </c>
      <c r="E8" s="7">
        <v>431</v>
      </c>
      <c r="F8" s="7">
        <v>86.2</v>
      </c>
      <c r="G8" s="7">
        <v>0</v>
      </c>
      <c r="H8" s="7">
        <v>344.8</v>
      </c>
      <c r="I8" s="14">
        <v>524739</v>
      </c>
      <c r="J8" s="28">
        <f t="shared" ref="J8:J49" si="0">H8*5%</f>
        <v>17.240000000000002</v>
      </c>
      <c r="K8" s="22">
        <f t="shared" ref="K8:K49" si="1">H8-J8</f>
        <v>327.56</v>
      </c>
      <c r="L8" s="1"/>
    </row>
    <row r="9" spans="1:12" x14ac:dyDescent="0.25">
      <c r="A9" s="20">
        <v>41344</v>
      </c>
      <c r="B9" s="8" t="s">
        <v>55</v>
      </c>
      <c r="C9" s="8" t="s">
        <v>56</v>
      </c>
      <c r="D9" s="9" t="s">
        <v>26</v>
      </c>
      <c r="E9" s="7">
        <v>402.6</v>
      </c>
      <c r="F9" s="7">
        <v>79.8</v>
      </c>
      <c r="G9" s="7">
        <v>0.43</v>
      </c>
      <c r="H9" s="7">
        <v>323.23</v>
      </c>
      <c r="I9" s="14">
        <v>524660</v>
      </c>
      <c r="J9" s="28">
        <f t="shared" si="0"/>
        <v>16.1615</v>
      </c>
      <c r="K9" s="22">
        <f t="shared" si="1"/>
        <v>307.06850000000003</v>
      </c>
      <c r="L9" s="1"/>
    </row>
    <row r="10" spans="1:12" x14ac:dyDescent="0.25">
      <c r="A10" s="20">
        <v>41344</v>
      </c>
      <c r="B10" s="8" t="s">
        <v>57</v>
      </c>
      <c r="C10" s="8" t="s">
        <v>58</v>
      </c>
      <c r="D10" s="9" t="s">
        <v>21</v>
      </c>
      <c r="E10" s="7">
        <v>74</v>
      </c>
      <c r="F10" s="7">
        <v>8</v>
      </c>
      <c r="G10" s="7">
        <v>3</v>
      </c>
      <c r="H10" s="7">
        <v>69</v>
      </c>
      <c r="I10" s="14">
        <v>524696</v>
      </c>
      <c r="J10" s="28">
        <f t="shared" si="0"/>
        <v>3.45</v>
      </c>
      <c r="K10" s="22">
        <f t="shared" si="1"/>
        <v>65.55</v>
      </c>
      <c r="L10" s="1"/>
    </row>
    <row r="11" spans="1:12" x14ac:dyDescent="0.25">
      <c r="A11" s="20">
        <v>41344</v>
      </c>
      <c r="B11" s="8" t="s">
        <v>59</v>
      </c>
      <c r="C11" s="8" t="s">
        <v>60</v>
      </c>
      <c r="D11" s="9" t="s">
        <v>35</v>
      </c>
      <c r="E11" s="7">
        <v>395.41</v>
      </c>
      <c r="F11" s="7">
        <v>72</v>
      </c>
      <c r="G11" s="7">
        <v>0</v>
      </c>
      <c r="H11" s="7">
        <v>323.41000000000003</v>
      </c>
      <c r="I11" s="14">
        <v>524761</v>
      </c>
      <c r="J11" s="28">
        <f t="shared" si="0"/>
        <v>16.170500000000001</v>
      </c>
      <c r="K11" s="22">
        <f t="shared" si="1"/>
        <v>307.23950000000002</v>
      </c>
      <c r="L11" s="1"/>
    </row>
    <row r="12" spans="1:12" x14ac:dyDescent="0.25">
      <c r="A12" s="20">
        <v>41344</v>
      </c>
      <c r="B12" s="8" t="s">
        <v>61</v>
      </c>
      <c r="C12" s="8" t="s">
        <v>62</v>
      </c>
      <c r="D12" s="9" t="s">
        <v>27</v>
      </c>
      <c r="E12" s="7">
        <v>238</v>
      </c>
      <c r="F12" s="7">
        <v>27.6</v>
      </c>
      <c r="G12" s="7">
        <v>12</v>
      </c>
      <c r="H12" s="7">
        <v>222.4</v>
      </c>
      <c r="I12" s="14">
        <v>524712</v>
      </c>
      <c r="J12" s="28">
        <f t="shared" si="0"/>
        <v>11.120000000000001</v>
      </c>
      <c r="K12" s="22">
        <f t="shared" si="1"/>
        <v>211.28</v>
      </c>
      <c r="L12" s="1"/>
    </row>
    <row r="13" spans="1:12" x14ac:dyDescent="0.25">
      <c r="A13" s="20">
        <v>41344</v>
      </c>
      <c r="B13" s="8" t="s">
        <v>63</v>
      </c>
      <c r="C13" s="8" t="s">
        <v>64</v>
      </c>
      <c r="D13" s="9" t="s">
        <v>43</v>
      </c>
      <c r="E13" s="7">
        <v>1790</v>
      </c>
      <c r="F13" s="7">
        <v>358</v>
      </c>
      <c r="G13" s="7">
        <v>0</v>
      </c>
      <c r="H13" s="7">
        <v>1432</v>
      </c>
      <c r="I13" s="14">
        <v>524815</v>
      </c>
      <c r="J13" s="28">
        <f t="shared" si="0"/>
        <v>71.600000000000009</v>
      </c>
      <c r="K13" s="22">
        <f t="shared" si="1"/>
        <v>1360.4</v>
      </c>
      <c r="L13" s="1"/>
    </row>
    <row r="14" spans="1:12" x14ac:dyDescent="0.25">
      <c r="A14" s="20">
        <v>41345</v>
      </c>
      <c r="B14" s="8" t="s">
        <v>65</v>
      </c>
      <c r="C14" s="8" t="s">
        <v>66</v>
      </c>
      <c r="D14" s="9" t="s">
        <v>50</v>
      </c>
      <c r="E14" s="7">
        <v>295</v>
      </c>
      <c r="F14" s="7">
        <v>59</v>
      </c>
      <c r="G14" s="7">
        <v>0</v>
      </c>
      <c r="H14" s="7">
        <v>236</v>
      </c>
      <c r="I14" s="14">
        <v>524847</v>
      </c>
      <c r="J14" s="28">
        <f t="shared" si="0"/>
        <v>11.8</v>
      </c>
      <c r="K14" s="22">
        <f t="shared" si="1"/>
        <v>224.2</v>
      </c>
      <c r="L14" s="1"/>
    </row>
    <row r="15" spans="1:12" x14ac:dyDescent="0.25">
      <c r="A15" s="20">
        <v>41345</v>
      </c>
      <c r="B15" s="8" t="s">
        <v>67</v>
      </c>
      <c r="C15" s="8" t="s">
        <v>68</v>
      </c>
      <c r="D15" s="9" t="s">
        <v>29</v>
      </c>
      <c r="E15" s="7">
        <v>723.28</v>
      </c>
      <c r="F15" s="7">
        <v>137.19999999999999</v>
      </c>
      <c r="G15" s="7">
        <v>0</v>
      </c>
      <c r="H15" s="7">
        <v>586.08000000000004</v>
      </c>
      <c r="I15" s="14">
        <v>524715</v>
      </c>
      <c r="J15" s="28">
        <f t="shared" si="0"/>
        <v>29.304000000000002</v>
      </c>
      <c r="K15" s="22">
        <f t="shared" si="1"/>
        <v>556.77600000000007</v>
      </c>
      <c r="L15" s="1"/>
    </row>
    <row r="16" spans="1:12" x14ac:dyDescent="0.25">
      <c r="A16" s="20">
        <v>41345</v>
      </c>
      <c r="B16" s="8" t="s">
        <v>69</v>
      </c>
      <c r="C16" s="8" t="s">
        <v>70</v>
      </c>
      <c r="D16" s="9" t="s">
        <v>36</v>
      </c>
      <c r="E16" s="7">
        <v>319.56</v>
      </c>
      <c r="F16" s="7">
        <v>56</v>
      </c>
      <c r="G16" s="7">
        <v>0</v>
      </c>
      <c r="H16" s="7">
        <v>263.56</v>
      </c>
      <c r="I16" s="14">
        <v>524769</v>
      </c>
      <c r="J16" s="28">
        <f t="shared" si="0"/>
        <v>13.178000000000001</v>
      </c>
      <c r="K16" s="22">
        <f t="shared" si="1"/>
        <v>250.38200000000001</v>
      </c>
      <c r="L16" s="1"/>
    </row>
    <row r="17" spans="1:14" x14ac:dyDescent="0.25">
      <c r="A17" s="20">
        <v>41345</v>
      </c>
      <c r="B17" s="8" t="s">
        <v>71</v>
      </c>
      <c r="C17" s="8" t="s">
        <v>72</v>
      </c>
      <c r="D17" s="9" t="s">
        <v>23</v>
      </c>
      <c r="E17" s="7">
        <v>460</v>
      </c>
      <c r="F17" s="7">
        <v>92</v>
      </c>
      <c r="G17" s="7">
        <v>0</v>
      </c>
      <c r="H17" s="7">
        <v>368</v>
      </c>
      <c r="I17" s="14">
        <v>524646</v>
      </c>
      <c r="J17" s="28">
        <f t="shared" si="0"/>
        <v>18.400000000000002</v>
      </c>
      <c r="K17" s="22">
        <f t="shared" si="1"/>
        <v>349.6</v>
      </c>
      <c r="L17" s="1"/>
    </row>
    <row r="18" spans="1:14" x14ac:dyDescent="0.25">
      <c r="A18" s="20">
        <v>41345</v>
      </c>
      <c r="B18" s="8" t="s">
        <v>73</v>
      </c>
      <c r="C18" s="8" t="s">
        <v>74</v>
      </c>
      <c r="D18" s="9" t="s">
        <v>47</v>
      </c>
      <c r="E18" s="7">
        <v>393.28</v>
      </c>
      <c r="F18" s="7">
        <v>53</v>
      </c>
      <c r="G18" s="7">
        <v>10.92</v>
      </c>
      <c r="H18" s="7">
        <v>351.2</v>
      </c>
      <c r="I18" s="14">
        <v>524849</v>
      </c>
      <c r="J18" s="28">
        <f t="shared" si="0"/>
        <v>17.559999999999999</v>
      </c>
      <c r="K18" s="22">
        <f t="shared" si="1"/>
        <v>333.64</v>
      </c>
      <c r="M18" s="10"/>
    </row>
    <row r="19" spans="1:14" x14ac:dyDescent="0.25">
      <c r="A19" s="20">
        <v>41345</v>
      </c>
      <c r="B19" s="8" t="s">
        <v>75</v>
      </c>
      <c r="C19" s="8" t="s">
        <v>76</v>
      </c>
      <c r="D19" s="9" t="s">
        <v>49</v>
      </c>
      <c r="E19" s="7">
        <v>205</v>
      </c>
      <c r="F19" s="7">
        <v>41</v>
      </c>
      <c r="G19" s="7">
        <v>0</v>
      </c>
      <c r="H19" s="7">
        <v>164</v>
      </c>
      <c r="I19" s="14">
        <v>524870</v>
      </c>
      <c r="J19" s="28">
        <f t="shared" si="0"/>
        <v>8.2000000000000011</v>
      </c>
      <c r="K19" s="22">
        <f t="shared" si="1"/>
        <v>155.80000000000001</v>
      </c>
    </row>
    <row r="20" spans="1:14" x14ac:dyDescent="0.25">
      <c r="A20" s="20">
        <v>41345</v>
      </c>
      <c r="B20" s="8" t="s">
        <v>77</v>
      </c>
      <c r="C20" s="8" t="s">
        <v>78</v>
      </c>
      <c r="D20" s="9" t="s">
        <v>24</v>
      </c>
      <c r="E20" s="7">
        <v>565</v>
      </c>
      <c r="F20" s="7">
        <v>113</v>
      </c>
      <c r="G20" s="7">
        <v>0</v>
      </c>
      <c r="H20" s="7">
        <v>452</v>
      </c>
      <c r="I20" s="14">
        <v>524652</v>
      </c>
      <c r="J20" s="28">
        <f t="shared" si="0"/>
        <v>22.6</v>
      </c>
      <c r="K20" s="22">
        <f t="shared" si="1"/>
        <v>429.4</v>
      </c>
    </row>
    <row r="21" spans="1:14" x14ac:dyDescent="0.25">
      <c r="A21" s="20">
        <v>41345</v>
      </c>
      <c r="B21" s="8" t="s">
        <v>79</v>
      </c>
      <c r="C21" s="8" t="s">
        <v>80</v>
      </c>
      <c r="D21" s="9" t="s">
        <v>40</v>
      </c>
      <c r="E21" s="7">
        <v>630</v>
      </c>
      <c r="F21" s="7">
        <v>126</v>
      </c>
      <c r="G21" s="7">
        <v>0</v>
      </c>
      <c r="H21" s="7">
        <v>504</v>
      </c>
      <c r="I21" s="14">
        <v>524790</v>
      </c>
      <c r="J21" s="28">
        <f t="shared" si="0"/>
        <v>25.200000000000003</v>
      </c>
      <c r="K21" s="22">
        <f t="shared" si="1"/>
        <v>478.8</v>
      </c>
    </row>
    <row r="22" spans="1:14" x14ac:dyDescent="0.25">
      <c r="A22" s="20">
        <v>41345</v>
      </c>
      <c r="B22" s="8" t="s">
        <v>82</v>
      </c>
      <c r="C22" s="8" t="s">
        <v>83</v>
      </c>
      <c r="D22" s="9" t="s">
        <v>81</v>
      </c>
      <c r="E22" s="7">
        <v>197.28</v>
      </c>
      <c r="F22" s="7">
        <v>32</v>
      </c>
      <c r="G22" s="7">
        <v>0</v>
      </c>
      <c r="H22" s="7">
        <v>165.28</v>
      </c>
      <c r="I22" s="14">
        <v>524866</v>
      </c>
      <c r="J22" s="28">
        <f t="shared" si="0"/>
        <v>8.2640000000000011</v>
      </c>
      <c r="K22" s="22">
        <f t="shared" si="1"/>
        <v>157.01599999999999</v>
      </c>
    </row>
    <row r="23" spans="1:14" x14ac:dyDescent="0.25">
      <c r="A23" s="20">
        <v>41345</v>
      </c>
      <c r="B23" s="8" t="s">
        <v>84</v>
      </c>
      <c r="C23" s="8" t="s">
        <v>85</v>
      </c>
      <c r="D23" s="9" t="s">
        <v>38</v>
      </c>
      <c r="E23" s="7">
        <v>208</v>
      </c>
      <c r="F23" s="7">
        <v>41.6</v>
      </c>
      <c r="G23" s="7">
        <v>0</v>
      </c>
      <c r="H23" s="7">
        <v>166.4</v>
      </c>
      <c r="I23" s="14">
        <v>524777</v>
      </c>
      <c r="J23" s="28">
        <f t="shared" si="0"/>
        <v>8.32</v>
      </c>
      <c r="K23" s="22">
        <f t="shared" si="1"/>
        <v>158.08000000000001</v>
      </c>
      <c r="M23" s="10"/>
    </row>
    <row r="24" spans="1:14" x14ac:dyDescent="0.25">
      <c r="A24" s="20">
        <v>41346</v>
      </c>
      <c r="B24" s="8" t="s">
        <v>86</v>
      </c>
      <c r="C24" s="8" t="s">
        <v>87</v>
      </c>
      <c r="D24" s="9" t="s">
        <v>51</v>
      </c>
      <c r="E24" s="7">
        <v>1034</v>
      </c>
      <c r="F24" s="7">
        <v>206.8</v>
      </c>
      <c r="G24" s="7">
        <v>0</v>
      </c>
      <c r="H24" s="7">
        <v>827.2</v>
      </c>
      <c r="I24" s="14">
        <v>524854</v>
      </c>
      <c r="J24" s="28">
        <f t="shared" si="0"/>
        <v>41.360000000000007</v>
      </c>
      <c r="K24" s="22">
        <f t="shared" si="1"/>
        <v>785.84</v>
      </c>
    </row>
    <row r="25" spans="1:14" x14ac:dyDescent="0.25">
      <c r="A25" s="20">
        <v>41346</v>
      </c>
      <c r="B25" s="8" t="s">
        <v>88</v>
      </c>
      <c r="C25" s="8" t="s">
        <v>89</v>
      </c>
      <c r="D25" s="9" t="s">
        <v>33</v>
      </c>
      <c r="E25" s="7">
        <v>296</v>
      </c>
      <c r="F25" s="7">
        <v>59.2</v>
      </c>
      <c r="G25" s="7">
        <v>0</v>
      </c>
      <c r="H25" s="7">
        <v>236.8</v>
      </c>
      <c r="I25" s="14">
        <v>524747</v>
      </c>
      <c r="J25" s="28">
        <f t="shared" si="0"/>
        <v>11.840000000000002</v>
      </c>
      <c r="K25" s="22">
        <f t="shared" si="1"/>
        <v>224.96</v>
      </c>
    </row>
    <row r="26" spans="1:14" x14ac:dyDescent="0.25">
      <c r="A26" s="20">
        <v>41346</v>
      </c>
      <c r="B26" s="8" t="s">
        <v>90</v>
      </c>
      <c r="C26" s="8" t="s">
        <v>91</v>
      </c>
      <c r="D26" s="9" t="s">
        <v>31</v>
      </c>
      <c r="E26" s="7">
        <v>841.5</v>
      </c>
      <c r="F26" s="7">
        <v>161</v>
      </c>
      <c r="G26" s="7">
        <v>3.24</v>
      </c>
      <c r="H26" s="7">
        <v>683.74</v>
      </c>
      <c r="I26" s="14">
        <v>524727</v>
      </c>
      <c r="J26" s="28">
        <f t="shared" si="0"/>
        <v>34.187000000000005</v>
      </c>
      <c r="K26" s="22">
        <f t="shared" si="1"/>
        <v>649.553</v>
      </c>
      <c r="N26" s="10"/>
    </row>
    <row r="27" spans="1:14" x14ac:dyDescent="0.25">
      <c r="A27" s="20">
        <v>41346</v>
      </c>
      <c r="B27" s="8" t="s">
        <v>92</v>
      </c>
      <c r="C27" s="23" t="s">
        <v>93</v>
      </c>
      <c r="D27" s="9" t="s">
        <v>39</v>
      </c>
      <c r="E27" s="7">
        <v>479</v>
      </c>
      <c r="F27" s="7">
        <v>95.8</v>
      </c>
      <c r="G27" s="7">
        <v>0</v>
      </c>
      <c r="H27" s="7">
        <v>383.2</v>
      </c>
      <c r="I27" s="14">
        <v>524787</v>
      </c>
      <c r="J27" s="28">
        <f t="shared" si="0"/>
        <v>19.16</v>
      </c>
      <c r="K27" s="22">
        <f t="shared" si="1"/>
        <v>364.03999999999996</v>
      </c>
    </row>
    <row r="28" spans="1:14" x14ac:dyDescent="0.25">
      <c r="A28" s="20">
        <v>41346</v>
      </c>
      <c r="B28" s="8" t="s">
        <v>92</v>
      </c>
      <c r="C28" s="23" t="s">
        <v>93</v>
      </c>
      <c r="D28" s="9" t="s">
        <v>39</v>
      </c>
      <c r="E28" s="7">
        <v>250</v>
      </c>
      <c r="F28" s="7">
        <v>50</v>
      </c>
      <c r="G28" s="7">
        <v>0</v>
      </c>
      <c r="H28" s="7">
        <v>200</v>
      </c>
      <c r="I28" s="14">
        <v>524788</v>
      </c>
      <c r="J28" s="28">
        <f t="shared" si="0"/>
        <v>10</v>
      </c>
      <c r="K28" s="22">
        <f t="shared" si="1"/>
        <v>190</v>
      </c>
    </row>
    <row r="29" spans="1:14" x14ac:dyDescent="0.25">
      <c r="A29" s="20">
        <v>41346</v>
      </c>
      <c r="B29" s="8" t="s">
        <v>94</v>
      </c>
      <c r="C29" s="23" t="s">
        <v>95</v>
      </c>
      <c r="D29" s="9" t="s">
        <v>28</v>
      </c>
      <c r="E29" s="7">
        <v>734</v>
      </c>
      <c r="F29" s="7">
        <v>146.80000000000001</v>
      </c>
      <c r="G29" s="7">
        <v>0</v>
      </c>
      <c r="H29" s="7">
        <v>587.20000000000005</v>
      </c>
      <c r="I29" s="14">
        <v>524713</v>
      </c>
      <c r="J29" s="28">
        <f t="shared" si="0"/>
        <v>29.360000000000003</v>
      </c>
      <c r="K29" s="22">
        <f t="shared" si="1"/>
        <v>557.84</v>
      </c>
    </row>
    <row r="30" spans="1:14" x14ac:dyDescent="0.25">
      <c r="A30" s="20">
        <v>41346</v>
      </c>
      <c r="B30" s="8" t="s">
        <v>96</v>
      </c>
      <c r="C30" s="23" t="s">
        <v>97</v>
      </c>
      <c r="D30" s="9" t="s">
        <v>41</v>
      </c>
      <c r="E30" s="7">
        <v>222</v>
      </c>
      <c r="F30" s="7">
        <v>44.4</v>
      </c>
      <c r="G30" s="7">
        <v>0</v>
      </c>
      <c r="H30" s="7">
        <v>177.6</v>
      </c>
      <c r="I30" s="14">
        <v>524800</v>
      </c>
      <c r="J30" s="28">
        <f t="shared" si="0"/>
        <v>8.8800000000000008</v>
      </c>
      <c r="K30" s="22">
        <f t="shared" si="1"/>
        <v>168.72</v>
      </c>
    </row>
    <row r="31" spans="1:14" x14ac:dyDescent="0.25">
      <c r="A31" s="20">
        <v>41346</v>
      </c>
      <c r="B31" s="8" t="s">
        <v>98</v>
      </c>
      <c r="C31" s="23" t="s">
        <v>99</v>
      </c>
      <c r="D31" s="9" t="s">
        <v>45</v>
      </c>
      <c r="E31" s="7">
        <v>411.44</v>
      </c>
      <c r="F31" s="7">
        <v>80.599999999999994</v>
      </c>
      <c r="G31" s="7">
        <v>0</v>
      </c>
      <c r="H31" s="7">
        <v>330.84</v>
      </c>
      <c r="I31" s="14">
        <v>524838</v>
      </c>
      <c r="J31" s="28">
        <f t="shared" si="0"/>
        <v>16.541999999999998</v>
      </c>
      <c r="K31" s="22">
        <f t="shared" si="1"/>
        <v>314.298</v>
      </c>
    </row>
    <row r="32" spans="1:14" x14ac:dyDescent="0.25">
      <c r="A32" s="20">
        <v>41346</v>
      </c>
      <c r="B32" s="8" t="s">
        <v>100</v>
      </c>
      <c r="C32" s="23" t="s">
        <v>101</v>
      </c>
      <c r="D32" s="9" t="s">
        <v>25</v>
      </c>
      <c r="E32" s="7">
        <v>626</v>
      </c>
      <c r="F32" s="7">
        <v>125.2</v>
      </c>
      <c r="G32" s="7">
        <v>0</v>
      </c>
      <c r="H32" s="7">
        <v>500.8</v>
      </c>
      <c r="I32" s="14">
        <v>524658</v>
      </c>
      <c r="J32" s="28">
        <f t="shared" si="0"/>
        <v>25.040000000000003</v>
      </c>
      <c r="K32" s="22">
        <f t="shared" si="1"/>
        <v>475.76</v>
      </c>
    </row>
    <row r="33" spans="1:11" x14ac:dyDescent="0.25">
      <c r="A33" s="20">
        <v>41347</v>
      </c>
      <c r="B33" s="8" t="s">
        <v>100</v>
      </c>
      <c r="C33" s="23" t="s">
        <v>101</v>
      </c>
      <c r="D33" s="9" t="s">
        <v>25</v>
      </c>
      <c r="E33" s="7">
        <v>521</v>
      </c>
      <c r="F33" s="7">
        <v>104.2</v>
      </c>
      <c r="G33" s="7">
        <v>0</v>
      </c>
      <c r="H33" s="7">
        <v>416.8</v>
      </c>
      <c r="I33" s="14">
        <v>524659</v>
      </c>
      <c r="J33" s="28">
        <f t="shared" si="0"/>
        <v>20.840000000000003</v>
      </c>
      <c r="K33" s="22">
        <f t="shared" si="1"/>
        <v>395.96000000000004</v>
      </c>
    </row>
    <row r="34" spans="1:11" x14ac:dyDescent="0.25">
      <c r="A34" s="20">
        <v>41347</v>
      </c>
      <c r="B34" s="8" t="s">
        <v>102</v>
      </c>
      <c r="C34" s="23" t="s">
        <v>103</v>
      </c>
      <c r="D34" s="9" t="s">
        <v>30</v>
      </c>
      <c r="E34" s="7">
        <v>1187</v>
      </c>
      <c r="F34" s="7">
        <v>237.4</v>
      </c>
      <c r="G34" s="7">
        <v>0</v>
      </c>
      <c r="H34" s="7">
        <v>949.6</v>
      </c>
      <c r="I34" s="14">
        <v>524717</v>
      </c>
      <c r="J34" s="28">
        <f t="shared" si="0"/>
        <v>47.480000000000004</v>
      </c>
      <c r="K34" s="22">
        <f t="shared" si="1"/>
        <v>902.12</v>
      </c>
    </row>
    <row r="35" spans="1:11" x14ac:dyDescent="0.25">
      <c r="A35" s="20">
        <v>41347</v>
      </c>
      <c r="B35" s="8" t="s">
        <v>102</v>
      </c>
      <c r="C35" s="23" t="s">
        <v>103</v>
      </c>
      <c r="D35" s="9" t="s">
        <v>30</v>
      </c>
      <c r="E35" s="7">
        <v>440.28</v>
      </c>
      <c r="F35" s="7">
        <v>67.2</v>
      </c>
      <c r="G35" s="7">
        <v>9.43</v>
      </c>
      <c r="H35" s="7">
        <v>382.51</v>
      </c>
      <c r="I35" s="14">
        <v>524718</v>
      </c>
      <c r="J35" s="28">
        <f t="shared" si="0"/>
        <v>19.125499999999999</v>
      </c>
      <c r="K35" s="22">
        <f t="shared" si="1"/>
        <v>363.3845</v>
      </c>
    </row>
    <row r="36" spans="1:11" x14ac:dyDescent="0.25">
      <c r="A36" s="20">
        <v>41347</v>
      </c>
      <c r="B36" s="8" t="s">
        <v>104</v>
      </c>
      <c r="C36" s="23" t="s">
        <v>105</v>
      </c>
      <c r="D36" s="9" t="s">
        <v>44</v>
      </c>
      <c r="E36" s="7">
        <v>360.84</v>
      </c>
      <c r="F36" s="7">
        <v>60</v>
      </c>
      <c r="G36" s="7">
        <v>0</v>
      </c>
      <c r="H36" s="7">
        <v>300.83999999999997</v>
      </c>
      <c r="I36" s="14">
        <v>524823</v>
      </c>
      <c r="J36" s="28">
        <f t="shared" si="0"/>
        <v>15.042</v>
      </c>
      <c r="K36" s="22">
        <f t="shared" si="1"/>
        <v>285.798</v>
      </c>
    </row>
    <row r="37" spans="1:11" x14ac:dyDescent="0.25">
      <c r="A37" s="20">
        <v>41347</v>
      </c>
      <c r="B37" s="8" t="s">
        <v>104</v>
      </c>
      <c r="C37" s="23" t="s">
        <v>105</v>
      </c>
      <c r="D37" s="9" t="s">
        <v>44</v>
      </c>
      <c r="E37" s="7">
        <v>480</v>
      </c>
      <c r="F37" s="7">
        <v>94.2</v>
      </c>
      <c r="G37" s="7">
        <v>1.08</v>
      </c>
      <c r="H37" s="7">
        <v>386.88</v>
      </c>
      <c r="I37" s="14">
        <v>524824</v>
      </c>
      <c r="J37" s="28">
        <f t="shared" si="0"/>
        <v>19.344000000000001</v>
      </c>
      <c r="K37" s="22">
        <f t="shared" si="1"/>
        <v>367.536</v>
      </c>
    </row>
    <row r="38" spans="1:11" x14ac:dyDescent="0.25">
      <c r="A38" s="20">
        <v>41347</v>
      </c>
      <c r="B38" s="8" t="s">
        <v>107</v>
      </c>
      <c r="C38" s="23" t="s">
        <v>108</v>
      </c>
      <c r="D38" s="9" t="s">
        <v>106</v>
      </c>
      <c r="E38" s="7">
        <v>675</v>
      </c>
      <c r="F38" s="7">
        <v>135</v>
      </c>
      <c r="G38" s="7">
        <v>0</v>
      </c>
      <c r="H38" s="7">
        <v>540</v>
      </c>
      <c r="I38" s="14">
        <v>524913</v>
      </c>
      <c r="J38" s="28">
        <f t="shared" si="0"/>
        <v>27</v>
      </c>
      <c r="K38" s="22">
        <f t="shared" si="1"/>
        <v>513</v>
      </c>
    </row>
    <row r="39" spans="1:11" x14ac:dyDescent="0.25">
      <c r="A39" s="20">
        <v>41347</v>
      </c>
      <c r="B39" s="8" t="s">
        <v>109</v>
      </c>
      <c r="C39" s="23" t="s">
        <v>110</v>
      </c>
      <c r="D39" s="9" t="s">
        <v>37</v>
      </c>
      <c r="E39" s="7">
        <v>156.78</v>
      </c>
      <c r="F39" s="7">
        <v>29.6</v>
      </c>
      <c r="G39" s="7">
        <v>0</v>
      </c>
      <c r="H39" s="7">
        <v>127.18</v>
      </c>
      <c r="I39" s="14">
        <v>524776</v>
      </c>
      <c r="J39" s="28">
        <f t="shared" si="0"/>
        <v>6.3590000000000009</v>
      </c>
      <c r="K39" s="22">
        <f t="shared" si="1"/>
        <v>120.82100000000001</v>
      </c>
    </row>
    <row r="40" spans="1:11" x14ac:dyDescent="0.25">
      <c r="A40" s="20">
        <v>41347</v>
      </c>
      <c r="B40" s="8" t="s">
        <v>111</v>
      </c>
      <c r="C40" s="23" t="s">
        <v>112</v>
      </c>
      <c r="D40" s="9" t="s">
        <v>46</v>
      </c>
      <c r="E40" s="7">
        <v>848</v>
      </c>
      <c r="F40" s="7">
        <v>169.6</v>
      </c>
      <c r="G40" s="7">
        <v>0</v>
      </c>
      <c r="H40" s="7">
        <v>678.4</v>
      </c>
      <c r="I40" s="14">
        <v>524845</v>
      </c>
      <c r="J40" s="28">
        <f t="shared" si="0"/>
        <v>33.92</v>
      </c>
      <c r="K40" s="22">
        <f t="shared" si="1"/>
        <v>644.48</v>
      </c>
    </row>
    <row r="41" spans="1:11" x14ac:dyDescent="0.25">
      <c r="A41" s="20">
        <v>41347</v>
      </c>
      <c r="B41" s="8" t="s">
        <v>113</v>
      </c>
      <c r="C41" s="23" t="s">
        <v>114</v>
      </c>
      <c r="D41" s="9" t="s">
        <v>52</v>
      </c>
      <c r="E41" s="7">
        <v>369.1</v>
      </c>
      <c r="F41" s="7">
        <v>25</v>
      </c>
      <c r="G41" s="7">
        <v>24</v>
      </c>
      <c r="H41" s="7">
        <v>368.1</v>
      </c>
      <c r="I41" s="14">
        <v>524873</v>
      </c>
      <c r="J41" s="28">
        <f t="shared" si="0"/>
        <v>18.405000000000001</v>
      </c>
      <c r="K41" s="22">
        <f t="shared" si="1"/>
        <v>349.69500000000005</v>
      </c>
    </row>
    <row r="42" spans="1:11" x14ac:dyDescent="0.25">
      <c r="A42" s="20">
        <v>41347</v>
      </c>
      <c r="B42" s="8" t="s">
        <v>113</v>
      </c>
      <c r="C42" s="23" t="s">
        <v>114</v>
      </c>
      <c r="D42" s="9" t="s">
        <v>52</v>
      </c>
      <c r="E42" s="7">
        <v>343</v>
      </c>
      <c r="F42" s="7">
        <v>68.599999999999994</v>
      </c>
      <c r="G42" s="7">
        <v>0</v>
      </c>
      <c r="H42" s="7">
        <v>274.39999999999998</v>
      </c>
      <c r="I42" s="14">
        <v>524874</v>
      </c>
      <c r="J42" s="28">
        <f t="shared" si="0"/>
        <v>13.719999999999999</v>
      </c>
      <c r="K42" s="22">
        <f t="shared" si="1"/>
        <v>260.67999999999995</v>
      </c>
    </row>
    <row r="43" spans="1:11" x14ac:dyDescent="0.25">
      <c r="A43" s="20">
        <v>41347</v>
      </c>
      <c r="B43" s="8" t="s">
        <v>113</v>
      </c>
      <c r="C43" s="23" t="s">
        <v>114</v>
      </c>
      <c r="D43" s="9" t="s">
        <v>52</v>
      </c>
      <c r="E43" s="7">
        <v>16.2</v>
      </c>
      <c r="F43" s="7">
        <v>0</v>
      </c>
      <c r="G43" s="7">
        <v>1.95</v>
      </c>
      <c r="H43" s="7">
        <v>18.149999999999999</v>
      </c>
      <c r="I43" s="14">
        <v>524875</v>
      </c>
      <c r="J43" s="28">
        <v>0</v>
      </c>
      <c r="K43" s="22">
        <f t="shared" si="1"/>
        <v>18.149999999999999</v>
      </c>
    </row>
    <row r="44" spans="1:11" x14ac:dyDescent="0.25">
      <c r="A44" s="20">
        <v>41347</v>
      </c>
      <c r="B44" s="8" t="s">
        <v>115</v>
      </c>
      <c r="C44" s="23" t="s">
        <v>116</v>
      </c>
      <c r="D44" s="9" t="s">
        <v>34</v>
      </c>
      <c r="E44" s="7">
        <v>660</v>
      </c>
      <c r="F44" s="7">
        <v>132</v>
      </c>
      <c r="G44" s="7">
        <v>0</v>
      </c>
      <c r="H44" s="7">
        <v>528</v>
      </c>
      <c r="I44" s="14">
        <v>524754</v>
      </c>
      <c r="J44" s="28">
        <f t="shared" si="0"/>
        <v>26.400000000000002</v>
      </c>
      <c r="K44" s="22">
        <f t="shared" si="1"/>
        <v>501.6</v>
      </c>
    </row>
    <row r="45" spans="1:11" x14ac:dyDescent="0.25">
      <c r="A45" s="20">
        <v>41348</v>
      </c>
      <c r="B45" s="8" t="s">
        <v>117</v>
      </c>
      <c r="C45" s="23" t="s">
        <v>118</v>
      </c>
      <c r="D45" s="9" t="s">
        <v>48</v>
      </c>
      <c r="E45" s="7">
        <v>671.86</v>
      </c>
      <c r="F45" s="7">
        <v>127</v>
      </c>
      <c r="G45" s="7">
        <v>0</v>
      </c>
      <c r="H45" s="7">
        <v>544.86</v>
      </c>
      <c r="I45" s="14">
        <v>524863</v>
      </c>
      <c r="J45" s="28">
        <f t="shared" si="0"/>
        <v>27.243000000000002</v>
      </c>
      <c r="K45" s="22">
        <f t="shared" si="1"/>
        <v>517.61699999999996</v>
      </c>
    </row>
    <row r="46" spans="1:11" x14ac:dyDescent="0.25">
      <c r="A46" s="20">
        <v>41348</v>
      </c>
      <c r="B46" s="8" t="s">
        <v>117</v>
      </c>
      <c r="C46" s="23" t="s">
        <v>118</v>
      </c>
      <c r="D46" s="9" t="s">
        <v>48</v>
      </c>
      <c r="E46" s="7">
        <v>430</v>
      </c>
      <c r="F46" s="7">
        <v>86</v>
      </c>
      <c r="G46" s="7">
        <v>0</v>
      </c>
      <c r="H46" s="7">
        <v>344</v>
      </c>
      <c r="I46" s="14">
        <v>524864</v>
      </c>
      <c r="J46" s="28">
        <f t="shared" si="0"/>
        <v>17.2</v>
      </c>
      <c r="K46" s="22">
        <f t="shared" si="1"/>
        <v>326.8</v>
      </c>
    </row>
    <row r="47" spans="1:11" x14ac:dyDescent="0.25">
      <c r="A47" s="20">
        <v>41348</v>
      </c>
      <c r="B47" s="8" t="s">
        <v>117</v>
      </c>
      <c r="C47" s="23" t="s">
        <v>118</v>
      </c>
      <c r="D47" s="9" t="s">
        <v>48</v>
      </c>
      <c r="E47" s="7">
        <v>607.6</v>
      </c>
      <c r="F47" s="7">
        <v>120.4</v>
      </c>
      <c r="G47" s="7">
        <v>0</v>
      </c>
      <c r="H47" s="7">
        <v>487.2</v>
      </c>
      <c r="I47" s="14">
        <v>524865</v>
      </c>
      <c r="J47" s="28">
        <f t="shared" si="0"/>
        <v>24.36</v>
      </c>
      <c r="K47" s="22">
        <f t="shared" si="1"/>
        <v>462.84</v>
      </c>
    </row>
    <row r="48" spans="1:11" x14ac:dyDescent="0.25">
      <c r="A48" s="20">
        <v>41348</v>
      </c>
      <c r="B48" s="8" t="s">
        <v>120</v>
      </c>
      <c r="C48" s="23" t="s">
        <v>121</v>
      </c>
      <c r="D48" s="9" t="s">
        <v>119</v>
      </c>
      <c r="E48" s="7">
        <v>119.28</v>
      </c>
      <c r="F48" s="7">
        <v>16.399999999999999</v>
      </c>
      <c r="G48" s="7">
        <v>0</v>
      </c>
      <c r="H48" s="7">
        <v>102.88</v>
      </c>
      <c r="I48" s="14">
        <v>524921</v>
      </c>
      <c r="J48" s="28">
        <f t="shared" si="0"/>
        <v>5.1440000000000001</v>
      </c>
      <c r="K48" s="22">
        <f t="shared" si="1"/>
        <v>97.73599999999999</v>
      </c>
    </row>
    <row r="49" spans="1:13" x14ac:dyDescent="0.25">
      <c r="A49" s="20">
        <v>41348</v>
      </c>
      <c r="B49" s="8" t="s">
        <v>122</v>
      </c>
      <c r="C49" s="23" t="s">
        <v>123</v>
      </c>
      <c r="D49" s="9" t="s">
        <v>42</v>
      </c>
      <c r="E49" s="7">
        <v>360</v>
      </c>
      <c r="F49" s="7">
        <v>72</v>
      </c>
      <c r="G49" s="7">
        <v>0</v>
      </c>
      <c r="H49" s="7">
        <v>288</v>
      </c>
      <c r="I49" s="14">
        <v>524805</v>
      </c>
      <c r="J49" s="28">
        <f t="shared" si="0"/>
        <v>14.4</v>
      </c>
      <c r="K49" s="22">
        <f t="shared" si="1"/>
        <v>273.60000000000002</v>
      </c>
    </row>
    <row r="50" spans="1:13" x14ac:dyDescent="0.25">
      <c r="A50" s="42"/>
      <c r="B50" s="42"/>
      <c r="C50" s="42"/>
      <c r="D50" s="42"/>
      <c r="E50" s="24">
        <f>SUM(E8:E49)</f>
        <v>20467.289999999997</v>
      </c>
      <c r="F50" s="24">
        <f>SUM(F8:F49)</f>
        <v>3896.7999999999993</v>
      </c>
      <c r="G50" s="24">
        <f>SUM(G8:G49)</f>
        <v>66.05</v>
      </c>
      <c r="H50" s="24">
        <f>SUM(H8:H49)</f>
        <v>16636.54</v>
      </c>
      <c r="I50" s="24"/>
      <c r="J50" s="24">
        <f>SUM(J8:J49)</f>
        <v>830.9195000000002</v>
      </c>
      <c r="K50" s="24">
        <f>SUM(K8:K49)</f>
        <v>15805.620500000001</v>
      </c>
      <c r="M50" s="10"/>
    </row>
    <row r="51" spans="1:13" x14ac:dyDescent="0.25">
      <c r="A51" s="29"/>
      <c r="B51" s="29"/>
      <c r="C51" s="29"/>
      <c r="D51" s="29"/>
      <c r="E51" s="24"/>
      <c r="F51" s="24"/>
      <c r="G51" s="24"/>
      <c r="H51" s="24"/>
      <c r="I51" s="24"/>
      <c r="J51" s="24"/>
      <c r="K51" s="24"/>
      <c r="M51" s="10"/>
    </row>
    <row r="52" spans="1:13" x14ac:dyDescent="0.25">
      <c r="A52" s="2"/>
      <c r="B52" s="43" t="s">
        <v>13</v>
      </c>
      <c r="C52" s="44"/>
      <c r="D52" s="45"/>
      <c r="E52" s="46" t="s">
        <v>14</v>
      </c>
      <c r="F52" s="46"/>
      <c r="G52" s="46"/>
      <c r="H52" s="46"/>
      <c r="I52" s="46"/>
      <c r="J52" s="47"/>
      <c r="K52" s="3"/>
    </row>
    <row r="53" spans="1:13" ht="21.75" customHeight="1" x14ac:dyDescent="0.25">
      <c r="A53" s="2"/>
      <c r="B53" s="48"/>
      <c r="C53" s="49"/>
      <c r="D53" s="50"/>
      <c r="E53" s="51"/>
      <c r="F53" s="52"/>
      <c r="G53" s="52"/>
      <c r="H53" s="52"/>
      <c r="I53" s="52"/>
      <c r="J53" s="53"/>
      <c r="K53" s="3"/>
    </row>
    <row r="54" spans="1:13" x14ac:dyDescent="0.25">
      <c r="A54" s="1"/>
      <c r="B54" s="36" t="s">
        <v>15</v>
      </c>
      <c r="C54" s="37"/>
      <c r="D54" s="38"/>
      <c r="E54" s="39" t="s">
        <v>16</v>
      </c>
      <c r="F54" s="40"/>
      <c r="G54" s="40"/>
      <c r="H54" s="40"/>
      <c r="I54" s="40"/>
      <c r="J54" s="41"/>
      <c r="K54" s="1"/>
    </row>
    <row r="55" spans="1:13" x14ac:dyDescent="0.25">
      <c r="M55" s="10"/>
    </row>
  </sheetData>
  <sortState ref="D8:K49">
    <sortCondition ref="D8"/>
  </sortState>
  <mergeCells count="13">
    <mergeCell ref="B54:D54"/>
    <mergeCell ref="E54:J54"/>
    <mergeCell ref="A50:D50"/>
    <mergeCell ref="B52:D52"/>
    <mergeCell ref="E52:J52"/>
    <mergeCell ref="B53:D53"/>
    <mergeCell ref="E53:J53"/>
    <mergeCell ref="A6:K6"/>
    <mergeCell ref="A1:K1"/>
    <mergeCell ref="A2:K2"/>
    <mergeCell ref="A3:K3"/>
    <mergeCell ref="A4:K4"/>
    <mergeCell ref="A5:K5"/>
  </mergeCells>
  <printOptions horizontalCentered="1"/>
  <pageMargins left="0" right="0" top="0" bottom="0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K18"/>
  <sheetViews>
    <sheetView topLeftCell="A5" workbookViewId="0">
      <selection activeCell="M14" sqref="M14"/>
    </sheetView>
  </sheetViews>
  <sheetFormatPr baseColWidth="10" defaultRowHeight="15" x14ac:dyDescent="0.25"/>
  <cols>
    <col min="1" max="1" width="6.140625" customWidth="1"/>
    <col min="2" max="2" width="7.5703125" customWidth="1"/>
    <col min="3" max="3" width="6.85546875" customWidth="1"/>
    <col min="4" max="4" width="17.28515625" customWidth="1"/>
    <col min="5" max="5" width="6.7109375" customWidth="1"/>
    <col min="6" max="6" width="6.85546875" customWidth="1"/>
    <col min="7" max="7" width="5.28515625" customWidth="1"/>
    <col min="8" max="8" width="7.7109375" customWidth="1"/>
    <col min="9" max="9" width="6.28515625" customWidth="1"/>
    <col min="10" max="10" width="6" customWidth="1"/>
    <col min="11" max="11" width="7.28515625" customWidth="1"/>
  </cols>
  <sheetData>
    <row r="2" spans="1:11" ht="15.75" x14ac:dyDescent="0.3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x14ac:dyDescent="0.2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x14ac:dyDescent="0.25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x14ac:dyDescent="0.25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x14ac:dyDescent="0.25">
      <c r="A7" s="30" t="s">
        <v>20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x14ac:dyDescent="0.25">
      <c r="A8" s="5" t="s">
        <v>4</v>
      </c>
      <c r="B8" s="4" t="s">
        <v>5</v>
      </c>
      <c r="C8" s="4" t="s">
        <v>6</v>
      </c>
      <c r="D8" s="18" t="s">
        <v>18</v>
      </c>
      <c r="E8" s="18" t="s">
        <v>8</v>
      </c>
      <c r="F8" s="6" t="s">
        <v>9</v>
      </c>
      <c r="G8" s="6" t="s">
        <v>11</v>
      </c>
      <c r="H8" s="19" t="s">
        <v>19</v>
      </c>
      <c r="I8" s="18" t="s">
        <v>7</v>
      </c>
      <c r="J8" s="17" t="s">
        <v>10</v>
      </c>
      <c r="K8" s="6" t="s">
        <v>12</v>
      </c>
    </row>
    <row r="9" spans="1:11" x14ac:dyDescent="0.25">
      <c r="A9" s="20"/>
      <c r="B9" s="21"/>
      <c r="C9" s="8"/>
      <c r="D9" s="9"/>
      <c r="E9" s="7"/>
      <c r="F9" s="7"/>
      <c r="G9" s="7"/>
      <c r="H9" s="7"/>
      <c r="I9" s="14"/>
      <c r="J9" s="22">
        <f>H9*5%</f>
        <v>0</v>
      </c>
      <c r="K9" s="22">
        <f>H9-J9</f>
        <v>0</v>
      </c>
    </row>
    <row r="10" spans="1:11" x14ac:dyDescent="0.25">
      <c r="A10" s="20"/>
      <c r="B10" s="21"/>
      <c r="C10" s="8"/>
      <c r="D10" s="9"/>
      <c r="E10" s="7"/>
      <c r="F10" s="7"/>
      <c r="G10" s="7"/>
      <c r="H10" s="7"/>
      <c r="I10" s="14"/>
      <c r="J10" s="22">
        <f t="shared" ref="J10:J11" si="0">H10*5%</f>
        <v>0</v>
      </c>
      <c r="K10" s="22">
        <f t="shared" ref="K10:K11" si="1">H10-J10</f>
        <v>0</v>
      </c>
    </row>
    <row r="11" spans="1:11" x14ac:dyDescent="0.25">
      <c r="A11" s="20"/>
      <c r="B11" s="21"/>
      <c r="C11" s="8"/>
      <c r="D11" s="9"/>
      <c r="E11" s="7"/>
      <c r="F11" s="7"/>
      <c r="G11" s="7"/>
      <c r="H11" s="7"/>
      <c r="I11" s="14"/>
      <c r="J11" s="22">
        <f t="shared" si="0"/>
        <v>0</v>
      </c>
      <c r="K11" s="22">
        <f t="shared" si="1"/>
        <v>0</v>
      </c>
    </row>
    <row r="12" spans="1:11" x14ac:dyDescent="0.25">
      <c r="E12" s="25">
        <f t="shared" ref="E12:H12" si="2">SUM(E9:E11)</f>
        <v>0</v>
      </c>
      <c r="F12" s="25">
        <f t="shared" si="2"/>
        <v>0</v>
      </c>
      <c r="G12" s="25">
        <f t="shared" si="2"/>
        <v>0</v>
      </c>
      <c r="H12" s="25">
        <f t="shared" si="2"/>
        <v>0</v>
      </c>
      <c r="I12" s="25"/>
      <c r="J12" s="25">
        <f>SUM(J9:J11)</f>
        <v>0</v>
      </c>
      <c r="K12" s="25">
        <f>SUM(K9:K11)</f>
        <v>0</v>
      </c>
    </row>
    <row r="15" spans="1:11" x14ac:dyDescent="0.25">
      <c r="B15" s="43" t="s">
        <v>13</v>
      </c>
      <c r="C15" s="44"/>
      <c r="D15" s="45"/>
      <c r="E15" s="46" t="s">
        <v>14</v>
      </c>
      <c r="F15" s="46"/>
      <c r="G15" s="46"/>
      <c r="H15" s="46"/>
      <c r="I15" s="46"/>
      <c r="J15" s="47"/>
    </row>
    <row r="16" spans="1:11" x14ac:dyDescent="0.25">
      <c r="B16" s="48"/>
      <c r="C16" s="49"/>
      <c r="D16" s="50"/>
      <c r="E16" s="51"/>
      <c r="F16" s="52"/>
      <c r="G16" s="52"/>
      <c r="H16" s="52"/>
      <c r="I16" s="52"/>
      <c r="J16" s="53"/>
    </row>
    <row r="17" spans="2:10" x14ac:dyDescent="0.25">
      <c r="B17" s="54"/>
      <c r="C17" s="55"/>
      <c r="D17" s="56"/>
      <c r="E17" s="57"/>
      <c r="F17" s="58"/>
      <c r="G17" s="58"/>
      <c r="H17" s="58"/>
      <c r="I17" s="58"/>
      <c r="J17" s="59"/>
    </row>
    <row r="18" spans="2:10" x14ac:dyDescent="0.25">
      <c r="B18" s="36" t="s">
        <v>15</v>
      </c>
      <c r="C18" s="37"/>
      <c r="D18" s="38"/>
      <c r="E18" s="39" t="s">
        <v>16</v>
      </c>
      <c r="F18" s="40"/>
      <c r="G18" s="40"/>
      <c r="H18" s="40"/>
      <c r="I18" s="40"/>
      <c r="J18" s="41"/>
    </row>
  </sheetData>
  <mergeCells count="12">
    <mergeCell ref="A7:K7"/>
    <mergeCell ref="A2:K2"/>
    <mergeCell ref="A3:K3"/>
    <mergeCell ref="A4:K4"/>
    <mergeCell ref="A5:K5"/>
    <mergeCell ref="A6:K6"/>
    <mergeCell ref="B15:D15"/>
    <mergeCell ref="E15:J15"/>
    <mergeCell ref="B16:D17"/>
    <mergeCell ref="E16:J17"/>
    <mergeCell ref="B18:D18"/>
    <mergeCell ref="E18:J1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</vt:lpstr>
      <vt:lpstr>EMPLEADOS CAPPO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2013-03-19T16:00:44Z</cp:lastPrinted>
  <dcterms:created xsi:type="dcterms:W3CDTF">2011-11-14T15:12:23Z</dcterms:created>
  <dcterms:modified xsi:type="dcterms:W3CDTF">2013-04-11T16:34:01Z</dcterms:modified>
</cp:coreProperties>
</file>