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35" windowHeight="8130"/>
  </bookViews>
  <sheets>
    <sheet name="CAPPO" sheetId="1" r:id="rId1"/>
    <sheet name="EMPLEADOS CAPPO" sheetId="2" r:id="rId2"/>
  </sheets>
  <calcPr calcId="144525"/>
</workbook>
</file>

<file path=xl/calcChain.xml><?xml version="1.0" encoding="utf-8"?>
<calcChain xmlns="http://schemas.openxmlformats.org/spreadsheetml/2006/main">
  <c r="J26" i="1" l="1"/>
  <c r="K26" i="1" s="1"/>
  <c r="J27" i="1"/>
  <c r="K27" i="1" s="1"/>
  <c r="J28" i="1"/>
  <c r="K28" i="1" s="1"/>
  <c r="J29" i="1"/>
  <c r="K29" i="1" s="1"/>
  <c r="J30" i="1"/>
  <c r="K30" i="1" s="1"/>
  <c r="J9" i="1"/>
  <c r="J10" i="1"/>
  <c r="J11" i="1"/>
  <c r="J12" i="1"/>
  <c r="J13" i="1"/>
  <c r="J14" i="1"/>
  <c r="J15" i="1"/>
  <c r="J16" i="1"/>
  <c r="J17" i="1"/>
  <c r="J19" i="1"/>
  <c r="J20" i="1"/>
  <c r="J21" i="1"/>
  <c r="J22" i="1"/>
  <c r="J23" i="1"/>
  <c r="J24" i="1"/>
  <c r="J25" i="1"/>
  <c r="H12" i="2"/>
  <c r="G12" i="2"/>
  <c r="F12" i="2"/>
  <c r="E12" i="2"/>
  <c r="H31" i="1"/>
  <c r="G31" i="1"/>
  <c r="F31" i="1"/>
  <c r="E31" i="1"/>
  <c r="K10" i="1"/>
  <c r="J8" i="1"/>
  <c r="K9" i="1"/>
  <c r="K17" i="1"/>
  <c r="K14" i="1"/>
  <c r="K15" i="1"/>
  <c r="K11" i="1"/>
  <c r="K8" i="1"/>
  <c r="K16" i="1"/>
  <c r="K18" i="1"/>
  <c r="K24" i="1"/>
  <c r="K13" i="1"/>
  <c r="K21" i="1"/>
  <c r="K25" i="1"/>
  <c r="K12" i="1"/>
  <c r="J10" i="2"/>
  <c r="J11" i="2"/>
  <c r="K11" i="2" s="1"/>
  <c r="K10" i="2"/>
  <c r="J9" i="2"/>
  <c r="J12" i="2" s="1"/>
  <c r="K22" i="1"/>
  <c r="K19" i="1"/>
  <c r="K20" i="1"/>
  <c r="K9" i="2" l="1"/>
  <c r="K12" i="2" s="1"/>
  <c r="J31" i="1"/>
  <c r="K23" i="1"/>
  <c r="K31" i="1" s="1"/>
</calcChain>
</file>

<file path=xl/sharedStrings.xml><?xml version="1.0" encoding="utf-8"?>
<sst xmlns="http://schemas.openxmlformats.org/spreadsheetml/2006/main" count="111" uniqueCount="79">
  <si>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</si>
  <si>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</si>
  <si>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</si>
  <si>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</si>
  <si>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</si>
  <si>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</si>
  <si>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</si>
  <si>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Factura</t>
  </si>
  <si>
    <t>Monto</t>
  </si>
  <si>
    <t>Dcto. Clte.</t>
  </si>
  <si>
    <t>Dcto. Cap.</t>
  </si>
  <si>
    <t>IVA</t>
  </si>
  <si>
    <t>Neto</t>
  </si>
  <si>
    <t>Elaborado Por:</t>
  </si>
  <si>
    <t xml:space="preserve">Recibido: (Firma y Sello) </t>
  </si>
  <si>
    <t>Yuris Reyes</t>
  </si>
  <si>
    <t>CAPPO-UCLA</t>
  </si>
  <si>
    <t xml:space="preserve"> CAPPO - UCLA</t>
  </si>
  <si>
    <t>Cliente</t>
  </si>
  <si>
    <t>Total Factura</t>
  </si>
  <si>
    <t>DURAN  AURA</t>
  </si>
  <si>
    <t>Desde  01/02/13 Hasta: 16/02/13</t>
  </si>
  <si>
    <t>7337422</t>
  </si>
  <si>
    <t>00510</t>
  </si>
  <si>
    <t>MARTINEZ JOSE</t>
  </si>
  <si>
    <t>GRATEROL YAILILI</t>
  </si>
  <si>
    <t>PEREZ FREDIS</t>
  </si>
  <si>
    <t>CONDES HECTOR</t>
  </si>
  <si>
    <t>CALDERON  BELKYS</t>
  </si>
  <si>
    <t>ORELLANA ALCIDES</t>
  </si>
  <si>
    <t>GARCES  NELLY</t>
  </si>
  <si>
    <t>5248954</t>
  </si>
  <si>
    <t>01442</t>
  </si>
  <si>
    <t>9615964</t>
  </si>
  <si>
    <t>00887</t>
  </si>
  <si>
    <t>6575243</t>
  </si>
  <si>
    <t>01753</t>
  </si>
  <si>
    <t>12018852</t>
  </si>
  <si>
    <t>00381</t>
  </si>
  <si>
    <t>11163187</t>
  </si>
  <si>
    <t>00328</t>
  </si>
  <si>
    <t>10840266</t>
  </si>
  <si>
    <t>01626</t>
  </si>
  <si>
    <t>4732618</t>
  </si>
  <si>
    <t>00800</t>
  </si>
  <si>
    <t>SUAREZ JOSE</t>
  </si>
  <si>
    <t>ISAZA BERTHA</t>
  </si>
  <si>
    <t>7331943</t>
  </si>
  <si>
    <t>02030</t>
  </si>
  <si>
    <t>7447992</t>
  </si>
  <si>
    <t>02507</t>
  </si>
  <si>
    <t>ALVARADO  RAMON</t>
  </si>
  <si>
    <t>CASTAÑEDA FRANCISCO</t>
  </si>
  <si>
    <t>VASQUEZ FRANKLIN</t>
  </si>
  <si>
    <t>10784623</t>
  </si>
  <si>
    <t>00114</t>
  </si>
  <si>
    <t>7442445</t>
  </si>
  <si>
    <t>00352</t>
  </si>
  <si>
    <t>11790818</t>
  </si>
  <si>
    <t>02337</t>
  </si>
  <si>
    <t>LINAREZ ALVARADO MARLON</t>
  </si>
  <si>
    <t>10772668</t>
  </si>
  <si>
    <t>01336</t>
  </si>
  <si>
    <t>RODRIGUEZ  C   EVELIO</t>
  </si>
  <si>
    <t>7436077</t>
  </si>
  <si>
    <t>01954</t>
  </si>
  <si>
    <t>SEIJAS JIMENEZ DARWIR</t>
  </si>
  <si>
    <t>13264411</t>
  </si>
  <si>
    <t>02076</t>
  </si>
  <si>
    <t>ALVARADO  PEDRO</t>
  </si>
  <si>
    <t>LOPEZ JUAN</t>
  </si>
  <si>
    <t>PEREZ JOSE</t>
  </si>
  <si>
    <t>2186056</t>
  </si>
  <si>
    <t>00140</t>
  </si>
  <si>
    <t>9543530</t>
  </si>
  <si>
    <t>01310</t>
  </si>
  <si>
    <t>7418939</t>
  </si>
  <si>
    <t>01820</t>
  </si>
  <si>
    <t>Desde  01/03/13 Hasta:  05/03/13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</si>
</sst>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i/>
      <sz val="9"/>
      <name val="Arial"/>
      <family val="2"/>
    </font>
    <font>
      <sz val="10"/>
      <color indexed="18"/>
      <name val="Arial Black"/>
      <family val="2"/>
    </font>
    <font>
      <sz val="9"/>
      <color indexed="18"/>
      <name val="Arial Narrow"/>
      <family val="2"/>
    </font>
    <font>
      <b/>
      <sz val="9"/>
      <color indexed="18"/>
      <name val="Copperplate Gothic Light"/>
      <family val="2"/>
    </font>
    <font>
      <sz val="9"/>
      <color theme="1"/>
      <name val="Agency FB"/>
      <family val="2"/>
    </font>
    <font>
      <sz val="9"/>
      <name val="Agency FB"/>
      <family val="2"/>
    </font>
    <font>
      <b/>
      <sz val="9"/>
      <name val="Agency FB"/>
      <family val="2"/>
    </font>
    <font>
      <b/>
      <sz val="8"/>
      <name val="Arial Narrow"/>
      <family val="2"/>
    </font>
    <font>
      <b/>
      <sz val="9"/>
      <color theme="1"/>
      <name val="Arial Narrow"/>
      <family val="2"/>
    </font>
    <font>
      <sz val="10"/>
      <name val="Agency FB"/>
      <family val="2"/>
    </font>
    <font>
      <sz val="8"/>
      <name val="Agency FB"/>
      <family val="2"/>
    </font>
    <font>
      <b/>
      <sz val="9"/>
      <color theme="1"/>
      <name val="Agency FB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3" fillId="0" borderId="0" xfId="1" applyFont="1" applyAlignme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 applyBorder="1"/>
    <xf numFmtId="164" fontId="3" fillId="0" borderId="0" xfId="1" applyNumberFormat="1" applyFont="1" applyAlignment="1">
      <alignment horizontal="right"/>
    </xf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Fill="1" applyBorder="1" applyAlignment="1">
      <alignment horizontal="right"/>
    </xf>
    <xf numFmtId="165" fontId="6" fillId="0" borderId="7" xfId="1" applyNumberFormat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6" fillId="0" borderId="0" xfId="1" applyNumberFormat="1" applyFont="1" applyBorder="1" applyAlignment="1">
      <alignment horizontal="right"/>
    </xf>
    <xf numFmtId="164" fontId="11" fillId="0" borderId="7" xfId="0" applyNumberFormat="1" applyFont="1" applyBorder="1"/>
    <xf numFmtId="49" fontId="12" fillId="0" borderId="7" xfId="1" applyNumberFormat="1" applyFont="1" applyBorder="1" applyAlignment="1">
      <alignment horizontal="center"/>
    </xf>
    <xf numFmtId="0" fontId="11" fillId="0" borderId="7" xfId="0" applyFont="1" applyBorder="1"/>
    <xf numFmtId="164" fontId="0" fillId="0" borderId="0" xfId="0" applyNumberFormat="1"/>
    <xf numFmtId="0" fontId="8" fillId="0" borderId="0" xfId="1" applyFont="1" applyBorder="1" applyAlignment="1"/>
    <xf numFmtId="0" fontId="10" fillId="0" borderId="0" xfId="1" applyFont="1" applyAlignment="1"/>
    <xf numFmtId="0" fontId="9" fillId="0" borderId="0" xfId="1" applyFont="1" applyAlignment="1"/>
    <xf numFmtId="49" fontId="11" fillId="0" borderId="7" xfId="0" applyNumberFormat="1" applyFont="1" applyBorder="1" applyAlignment="1">
      <alignment horizontal="center"/>
    </xf>
    <xf numFmtId="0" fontId="7" fillId="0" borderId="0" xfId="1" applyFont="1" applyAlignment="1"/>
    <xf numFmtId="49" fontId="7" fillId="0" borderId="0" xfId="1" applyNumberFormat="1" applyFont="1" applyAlignment="1"/>
    <xf numFmtId="164" fontId="14" fillId="0" borderId="7" xfId="1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6" fillId="0" borderId="1" xfId="1" applyNumberFormat="1" applyFont="1" applyFill="1" applyBorder="1" applyAlignment="1"/>
    <xf numFmtId="167" fontId="12" fillId="0" borderId="7" xfId="1" applyNumberFormat="1" applyFont="1" applyBorder="1" applyAlignment="1">
      <alignment horizontal="center"/>
    </xf>
    <xf numFmtId="165" fontId="12" fillId="0" borderId="7" xfId="1" applyNumberFormat="1" applyFont="1" applyBorder="1" applyAlignment="1">
      <alignment horizontal="center"/>
    </xf>
    <xf numFmtId="164" fontId="12" fillId="0" borderId="7" xfId="1" applyNumberFormat="1" applyFont="1" applyBorder="1" applyAlignment="1">
      <alignment horizontal="center"/>
    </xf>
    <xf numFmtId="49" fontId="16" fillId="0" borderId="7" xfId="1" applyNumberFormat="1" applyFont="1" applyBorder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49" fontId="13" fillId="0" borderId="0" xfId="1" applyNumberFormat="1" applyFont="1" applyFill="1" applyBorder="1" applyAlignment="1">
      <alignment horizontal="center"/>
    </xf>
    <xf numFmtId="167" fontId="16" fillId="0" borderId="0" xfId="1" applyNumberFormat="1" applyFont="1" applyBorder="1"/>
    <xf numFmtId="49" fontId="16" fillId="0" borderId="0" xfId="1" applyNumberFormat="1" applyFont="1" applyBorder="1"/>
    <xf numFmtId="0" fontId="16" fillId="0" borderId="0" xfId="1" applyFont="1" applyBorder="1"/>
    <xf numFmtId="2" fontId="13" fillId="0" borderId="0" xfId="1" applyNumberFormat="1" applyFont="1" applyBorder="1" applyAlignment="1">
      <alignment horizontal="center"/>
    </xf>
    <xf numFmtId="2" fontId="13" fillId="0" borderId="0" xfId="1" applyNumberFormat="1" applyFont="1" applyBorder="1"/>
    <xf numFmtId="2" fontId="13" fillId="0" borderId="0" xfId="1" applyNumberFormat="1" applyFont="1" applyFill="1" applyBorder="1" applyAlignment="1">
      <alignment horizontal="right"/>
    </xf>
    <xf numFmtId="164" fontId="17" fillId="0" borderId="0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164" fontId="18" fillId="0" borderId="0" xfId="0" applyNumberFormat="1" applyFont="1"/>
    <xf numFmtId="49" fontId="6" fillId="0" borderId="7" xfId="1" applyNumberFormat="1" applyFont="1" applyBorder="1" applyAlignment="1">
      <alignment horizontal="center"/>
    </xf>
    <xf numFmtId="49" fontId="1" fillId="0" borderId="0" xfId="1" applyNumberFormat="1"/>
    <xf numFmtId="49" fontId="0" fillId="0" borderId="0" xfId="0" applyNumberFormat="1"/>
    <xf numFmtId="49" fontId="12" fillId="0" borderId="1" xfId="1" applyNumberFormat="1" applyFont="1" applyBorder="1" applyAlignment="1">
      <alignment horizontal="center"/>
    </xf>
    <xf numFmtId="164" fontId="12" fillId="0" borderId="2" xfId="1" applyNumberFormat="1" applyFont="1" applyBorder="1" applyAlignment="1">
      <alignment horizontal="center"/>
    </xf>
    <xf numFmtId="0" fontId="11" fillId="0" borderId="11" xfId="0" applyFont="1" applyBorder="1"/>
    <xf numFmtId="164" fontId="11" fillId="0" borderId="11" xfId="0" applyNumberFormat="1" applyFont="1" applyBorder="1"/>
    <xf numFmtId="49" fontId="11" fillId="0" borderId="11" xfId="0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9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7" fontId="16" fillId="0" borderId="0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165" fontId="6" fillId="0" borderId="9" xfId="1" applyNumberFormat="1" applyFont="1" applyBorder="1" applyAlignment="1">
      <alignment horizontal="center"/>
    </xf>
    <xf numFmtId="165" fontId="6" fillId="0" borderId="2" xfId="1" applyNumberFormat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165" fontId="3" fillId="0" borderId="5" xfId="1" applyNumberFormat="1" applyFont="1" applyBorder="1" applyAlignment="1">
      <alignment horizontal="center"/>
    </xf>
    <xf numFmtId="165" fontId="3" fillId="0" borderId="10" xfId="1" applyNumberFormat="1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165" fontId="3" fillId="0" borderId="8" xfId="1" applyNumberFormat="1" applyFont="1" applyBorder="1" applyAlignment="1">
      <alignment horizontal="center"/>
    </xf>
    <xf numFmtId="165" fontId="3" fillId="0" borderId="4" xfId="1" applyNumberFormat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49" fontId="7" fillId="0" borderId="0" xfId="1" applyNumberFormat="1" applyFont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142874</xdr:colOff>
      <xdr:row>0</xdr:row>
      <xdr:rowOff>0</xdr:rowOff>
    </xdr:from>
    <xdr:to>
      <xdr:col>3</xdr:col>
      <xdr:colOff>114299</xdr:colOff>
      <xdr:row>5</xdr:row>
      <xdr:rowOff>95250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4" y="9725025"/>
          <a:ext cx="1362075" cy="10572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161924</xdr:rowOff>
    </xdr:from>
    <xdr:to>
      <xdr:col>2</xdr:col>
      <xdr:colOff>180975</xdr:colOff>
      <xdr:row>6</xdr:row>
      <xdr:rowOff>85724</xdr:rowOff>
    </xdr:to>
    <xdr:pic>
      <xdr:nvPicPr>
        <xdr:cNvPr id="2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352424"/>
          <a:ext cx="952500" cy="8858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N38"/>
  <sheetViews>
    <sheetView tabSelected="1" workbookViewId="0">
      <selection activeCell="A7" sqref="A7"/>
    </sheetView>
  </sheetViews>
  <sheetFormatPr baseColWidth="10" defaultRowHeight="15" x14ac:dyDescent="0.25"/>
  <cols>
    <col min="1" max="1" width="6.7109375" customWidth="1"/>
    <col min="2" max="2" width="7.140625" style="42" customWidth="1"/>
    <col min="3" max="3" width="7" customWidth="1"/>
    <col min="4" max="4" width="20.7109375" customWidth="1"/>
    <col min="5" max="5" width="8.42578125" customWidth="1"/>
    <col min="6" max="6" width="7.42578125" customWidth="1"/>
    <col min="7" max="7" width="7.28515625" customWidth="1"/>
    <col min="8" max="8" width="7.85546875" customWidth="1"/>
    <col min="9" max="9" width="6.5703125" customWidth="1"/>
    <col min="10" max="10" width="6.42578125" customWidth="1"/>
    <col min="11" max="11" width="8.28515625" customWidth="1"/>
  </cols>
  <sheetData>
    <row r="1" spans="1:12" ht="15.75" x14ac:dyDescent="0.3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16"/>
    </row>
    <row r="2" spans="1:12" x14ac:dyDescent="0.25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17"/>
    </row>
    <row r="3" spans="1:12" x14ac:dyDescent="0.25">
      <c r="A3" s="75" t="s">
        <v>2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18"/>
    </row>
    <row r="4" spans="1:12" x14ac:dyDescent="0.25">
      <c r="A4" s="76" t="s">
        <v>3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20"/>
    </row>
    <row r="5" spans="1:12" x14ac:dyDescent="0.25">
      <c r="A5" s="77" t="s">
        <v>17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21"/>
    </row>
    <row r="6" spans="1:12" x14ac:dyDescent="0.25">
      <c r="A6" s="72" t="s">
        <v>78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20"/>
    </row>
    <row r="7" spans="1:12" x14ac:dyDescent="0.25">
      <c r="A7" s="9" t="s">
        <v>4</v>
      </c>
      <c r="B7" s="40" t="s">
        <v>5</v>
      </c>
      <c r="C7" s="8" t="s">
        <v>6</v>
      </c>
      <c r="D7" s="23" t="s">
        <v>18</v>
      </c>
      <c r="E7" s="23" t="s">
        <v>8</v>
      </c>
      <c r="F7" s="10" t="s">
        <v>9</v>
      </c>
      <c r="G7" s="10" t="s">
        <v>11</v>
      </c>
      <c r="H7" s="24" t="s">
        <v>19</v>
      </c>
      <c r="I7" s="23" t="s">
        <v>7</v>
      </c>
      <c r="J7" s="22" t="s">
        <v>10</v>
      </c>
      <c r="K7" s="10" t="s">
        <v>12</v>
      </c>
      <c r="L7" s="1"/>
    </row>
    <row r="8" spans="1:12" x14ac:dyDescent="0.25">
      <c r="A8" s="25">
        <v>41334</v>
      </c>
      <c r="B8" s="13" t="s">
        <v>31</v>
      </c>
      <c r="C8" s="13" t="s">
        <v>32</v>
      </c>
      <c r="D8" s="14" t="s">
        <v>24</v>
      </c>
      <c r="E8" s="12">
        <v>130</v>
      </c>
      <c r="F8" s="12">
        <v>26</v>
      </c>
      <c r="G8" s="12">
        <v>0</v>
      </c>
      <c r="H8" s="12">
        <v>104</v>
      </c>
      <c r="I8" s="19">
        <v>524292</v>
      </c>
      <c r="J8" s="27">
        <f t="shared" ref="J8:J30" si="0">H8*5%</f>
        <v>5.2</v>
      </c>
      <c r="K8" s="27">
        <f t="shared" ref="K8:K30" si="1">H8-J8</f>
        <v>98.8</v>
      </c>
      <c r="L8" s="1"/>
    </row>
    <row r="9" spans="1:12" x14ac:dyDescent="0.25">
      <c r="A9" s="25">
        <v>41334</v>
      </c>
      <c r="B9" s="13" t="s">
        <v>33</v>
      </c>
      <c r="C9" s="13" t="s">
        <v>34</v>
      </c>
      <c r="D9" s="14" t="s">
        <v>25</v>
      </c>
      <c r="E9" s="12">
        <v>394</v>
      </c>
      <c r="F9" s="12">
        <v>78.8</v>
      </c>
      <c r="G9" s="12">
        <v>0</v>
      </c>
      <c r="H9" s="12">
        <v>315.2</v>
      </c>
      <c r="I9" s="19">
        <v>524295</v>
      </c>
      <c r="J9" s="27">
        <f t="shared" si="0"/>
        <v>15.76</v>
      </c>
      <c r="K9" s="27">
        <f t="shared" si="1"/>
        <v>299.44</v>
      </c>
      <c r="L9" s="1"/>
    </row>
    <row r="10" spans="1:12" x14ac:dyDescent="0.25">
      <c r="A10" s="25">
        <v>41334</v>
      </c>
      <c r="B10" s="13" t="s">
        <v>35</v>
      </c>
      <c r="C10" s="13" t="s">
        <v>36</v>
      </c>
      <c r="D10" s="14" t="s">
        <v>26</v>
      </c>
      <c r="E10" s="12">
        <v>178</v>
      </c>
      <c r="F10" s="12">
        <v>35.6</v>
      </c>
      <c r="G10" s="12">
        <v>0</v>
      </c>
      <c r="H10" s="12">
        <v>142.4</v>
      </c>
      <c r="I10" s="19">
        <v>524303</v>
      </c>
      <c r="J10" s="27">
        <f t="shared" si="0"/>
        <v>7.120000000000001</v>
      </c>
      <c r="K10" s="27">
        <f t="shared" si="1"/>
        <v>135.28</v>
      </c>
      <c r="L10" s="1"/>
    </row>
    <row r="11" spans="1:12" x14ac:dyDescent="0.25">
      <c r="A11" s="25">
        <v>41334</v>
      </c>
      <c r="B11" s="13" t="s">
        <v>37</v>
      </c>
      <c r="C11" s="13" t="s">
        <v>38</v>
      </c>
      <c r="D11" s="14" t="s">
        <v>27</v>
      </c>
      <c r="E11" s="12">
        <v>423</v>
      </c>
      <c r="F11" s="12">
        <v>84.6</v>
      </c>
      <c r="G11" s="12">
        <v>0</v>
      </c>
      <c r="H11" s="12">
        <v>338.4</v>
      </c>
      <c r="I11" s="19">
        <v>524310</v>
      </c>
      <c r="J11" s="27">
        <f t="shared" si="0"/>
        <v>16.919999999999998</v>
      </c>
      <c r="K11" s="27">
        <f t="shared" si="1"/>
        <v>321.47999999999996</v>
      </c>
      <c r="L11" s="1"/>
    </row>
    <row r="12" spans="1:12" x14ac:dyDescent="0.25">
      <c r="A12" s="25">
        <v>41334</v>
      </c>
      <c r="B12" s="13" t="s">
        <v>22</v>
      </c>
      <c r="C12" s="13" t="s">
        <v>23</v>
      </c>
      <c r="D12" s="14" t="s">
        <v>20</v>
      </c>
      <c r="E12" s="12">
        <v>986.14</v>
      </c>
      <c r="F12" s="12">
        <v>165.8</v>
      </c>
      <c r="G12" s="12">
        <v>18.86</v>
      </c>
      <c r="H12" s="12">
        <v>839.2</v>
      </c>
      <c r="I12" s="19">
        <v>524313</v>
      </c>
      <c r="J12" s="27">
        <f t="shared" si="0"/>
        <v>41.960000000000008</v>
      </c>
      <c r="K12" s="27">
        <f t="shared" si="1"/>
        <v>797.24</v>
      </c>
      <c r="L12" s="1"/>
    </row>
    <row r="13" spans="1:12" x14ac:dyDescent="0.25">
      <c r="A13" s="25">
        <v>41334</v>
      </c>
      <c r="B13" s="13" t="s">
        <v>39</v>
      </c>
      <c r="C13" s="13" t="s">
        <v>40</v>
      </c>
      <c r="D13" s="14" t="s">
        <v>28</v>
      </c>
      <c r="E13" s="12">
        <v>529</v>
      </c>
      <c r="F13" s="12">
        <v>105.8</v>
      </c>
      <c r="G13" s="12">
        <v>0</v>
      </c>
      <c r="H13" s="12">
        <v>423.2</v>
      </c>
      <c r="I13" s="19">
        <v>524315</v>
      </c>
      <c r="J13" s="27">
        <f t="shared" si="0"/>
        <v>21.16</v>
      </c>
      <c r="K13" s="27">
        <f t="shared" si="1"/>
        <v>402.03999999999996</v>
      </c>
      <c r="L13" s="1"/>
    </row>
    <row r="14" spans="1:12" x14ac:dyDescent="0.25">
      <c r="A14" s="25">
        <v>41334</v>
      </c>
      <c r="B14" s="13" t="s">
        <v>41</v>
      </c>
      <c r="C14" s="13" t="s">
        <v>42</v>
      </c>
      <c r="D14" s="14" t="s">
        <v>29</v>
      </c>
      <c r="E14" s="12">
        <v>322</v>
      </c>
      <c r="F14" s="12">
        <v>64.400000000000006</v>
      </c>
      <c r="G14" s="12">
        <v>0</v>
      </c>
      <c r="H14" s="12">
        <v>257.60000000000002</v>
      </c>
      <c r="I14" s="19">
        <v>524331</v>
      </c>
      <c r="J14" s="27">
        <f t="shared" si="0"/>
        <v>12.880000000000003</v>
      </c>
      <c r="K14" s="27">
        <f t="shared" si="1"/>
        <v>244.72000000000003</v>
      </c>
      <c r="L14" s="1"/>
    </row>
    <row r="15" spans="1:12" x14ac:dyDescent="0.25">
      <c r="A15" s="25">
        <v>41334</v>
      </c>
      <c r="B15" s="13" t="s">
        <v>43</v>
      </c>
      <c r="C15" s="13" t="s">
        <v>44</v>
      </c>
      <c r="D15" s="14" t="s">
        <v>30</v>
      </c>
      <c r="E15" s="12">
        <v>1109</v>
      </c>
      <c r="F15" s="12">
        <v>221.8</v>
      </c>
      <c r="G15" s="12">
        <v>0</v>
      </c>
      <c r="H15" s="12">
        <v>887.2</v>
      </c>
      <c r="I15" s="19">
        <v>524349</v>
      </c>
      <c r="J15" s="27">
        <f t="shared" si="0"/>
        <v>44.360000000000007</v>
      </c>
      <c r="K15" s="27">
        <f t="shared" si="1"/>
        <v>842.84</v>
      </c>
      <c r="L15" s="1"/>
    </row>
    <row r="16" spans="1:12" x14ac:dyDescent="0.25">
      <c r="A16" s="25">
        <v>41334</v>
      </c>
      <c r="B16" s="13" t="s">
        <v>31</v>
      </c>
      <c r="C16" s="13" t="s">
        <v>32</v>
      </c>
      <c r="D16" s="45" t="s">
        <v>24</v>
      </c>
      <c r="E16" s="46">
        <v>285</v>
      </c>
      <c r="F16" s="46">
        <v>57</v>
      </c>
      <c r="G16" s="46">
        <v>0</v>
      </c>
      <c r="H16" s="46">
        <v>228</v>
      </c>
      <c r="I16" s="47">
        <v>524354</v>
      </c>
      <c r="J16" s="27">
        <f t="shared" si="0"/>
        <v>11.4</v>
      </c>
      <c r="K16" s="27">
        <f t="shared" si="1"/>
        <v>216.6</v>
      </c>
      <c r="L16" s="1"/>
    </row>
    <row r="17" spans="1:14" x14ac:dyDescent="0.25">
      <c r="A17" s="25">
        <v>41335</v>
      </c>
      <c r="B17" s="13" t="s">
        <v>47</v>
      </c>
      <c r="C17" s="43" t="s">
        <v>48</v>
      </c>
      <c r="D17" s="14" t="s">
        <v>45</v>
      </c>
      <c r="E17" s="12">
        <v>467</v>
      </c>
      <c r="F17" s="12">
        <v>93.4</v>
      </c>
      <c r="G17" s="12">
        <v>0</v>
      </c>
      <c r="H17" s="12">
        <v>373.6</v>
      </c>
      <c r="I17" s="19">
        <v>524361</v>
      </c>
      <c r="J17" s="44">
        <f t="shared" si="0"/>
        <v>18.680000000000003</v>
      </c>
      <c r="K17" s="27">
        <f t="shared" si="1"/>
        <v>354.92</v>
      </c>
      <c r="L17" s="1"/>
    </row>
    <row r="18" spans="1:14" x14ac:dyDescent="0.25">
      <c r="A18" s="25">
        <v>41335</v>
      </c>
      <c r="B18" s="13" t="s">
        <v>47</v>
      </c>
      <c r="C18" s="43" t="s">
        <v>48</v>
      </c>
      <c r="D18" s="14" t="s">
        <v>45</v>
      </c>
      <c r="E18" s="12">
        <v>9</v>
      </c>
      <c r="F18" s="12">
        <v>0</v>
      </c>
      <c r="G18" s="12">
        <v>1.08</v>
      </c>
      <c r="H18" s="12">
        <v>10.08</v>
      </c>
      <c r="I18" s="19">
        <v>524362</v>
      </c>
      <c r="J18" s="44">
        <v>0</v>
      </c>
      <c r="K18" s="27">
        <f t="shared" si="1"/>
        <v>10.08</v>
      </c>
      <c r="M18" s="15"/>
    </row>
    <row r="19" spans="1:14" x14ac:dyDescent="0.25">
      <c r="A19" s="25">
        <v>41335</v>
      </c>
      <c r="B19" s="13" t="s">
        <v>49</v>
      </c>
      <c r="C19" s="43" t="s">
        <v>50</v>
      </c>
      <c r="D19" s="14" t="s">
        <v>46</v>
      </c>
      <c r="E19" s="12">
        <v>301</v>
      </c>
      <c r="F19" s="12">
        <v>60.2</v>
      </c>
      <c r="G19" s="12">
        <v>0</v>
      </c>
      <c r="H19" s="12">
        <v>240.8</v>
      </c>
      <c r="I19" s="19">
        <v>524373</v>
      </c>
      <c r="J19" s="44">
        <f t="shared" si="0"/>
        <v>12.040000000000001</v>
      </c>
      <c r="K19" s="27">
        <f t="shared" si="1"/>
        <v>228.76000000000002</v>
      </c>
    </row>
    <row r="20" spans="1:14" x14ac:dyDescent="0.25">
      <c r="A20" s="25">
        <v>41337</v>
      </c>
      <c r="B20" s="13" t="s">
        <v>54</v>
      </c>
      <c r="C20" s="13" t="s">
        <v>55</v>
      </c>
      <c r="D20" s="14" t="s">
        <v>51</v>
      </c>
      <c r="E20" s="12">
        <v>354</v>
      </c>
      <c r="F20" s="12">
        <v>70.8</v>
      </c>
      <c r="G20" s="12">
        <v>0</v>
      </c>
      <c r="H20" s="12">
        <v>283.2</v>
      </c>
      <c r="I20" s="19">
        <v>524392</v>
      </c>
      <c r="J20" s="27">
        <f t="shared" si="0"/>
        <v>14.16</v>
      </c>
      <c r="K20" s="27">
        <f t="shared" si="1"/>
        <v>269.03999999999996</v>
      </c>
    </row>
    <row r="21" spans="1:14" x14ac:dyDescent="0.25">
      <c r="A21" s="25">
        <v>41337</v>
      </c>
      <c r="B21" s="13" t="s">
        <v>56</v>
      </c>
      <c r="C21" s="13" t="s">
        <v>57</v>
      </c>
      <c r="D21" s="14" t="s">
        <v>52</v>
      </c>
      <c r="E21" s="12">
        <v>689</v>
      </c>
      <c r="F21" s="12">
        <v>137.80000000000001</v>
      </c>
      <c r="G21" s="12">
        <v>0</v>
      </c>
      <c r="H21" s="12">
        <v>551.20000000000005</v>
      </c>
      <c r="I21" s="19">
        <v>524401</v>
      </c>
      <c r="J21" s="27">
        <f t="shared" si="0"/>
        <v>27.560000000000002</v>
      </c>
      <c r="K21" s="27">
        <f t="shared" si="1"/>
        <v>523.6400000000001</v>
      </c>
    </row>
    <row r="22" spans="1:14" x14ac:dyDescent="0.25">
      <c r="A22" s="25">
        <v>41337</v>
      </c>
      <c r="B22" s="13" t="s">
        <v>58</v>
      </c>
      <c r="C22" s="13" t="s">
        <v>59</v>
      </c>
      <c r="D22" s="14" t="s">
        <v>53</v>
      </c>
      <c r="E22" s="12">
        <v>658</v>
      </c>
      <c r="F22" s="12">
        <v>131.6</v>
      </c>
      <c r="G22" s="12">
        <v>0</v>
      </c>
      <c r="H22" s="12">
        <v>526.4</v>
      </c>
      <c r="I22" s="19">
        <v>524404</v>
      </c>
      <c r="J22" s="27">
        <f t="shared" si="0"/>
        <v>26.32</v>
      </c>
      <c r="K22" s="27">
        <f t="shared" si="1"/>
        <v>500.08</v>
      </c>
    </row>
    <row r="23" spans="1:14" x14ac:dyDescent="0.25">
      <c r="A23" s="25">
        <v>41337</v>
      </c>
      <c r="B23" s="13" t="s">
        <v>61</v>
      </c>
      <c r="C23" s="13" t="s">
        <v>62</v>
      </c>
      <c r="D23" s="14" t="s">
        <v>60</v>
      </c>
      <c r="E23" s="12">
        <v>919</v>
      </c>
      <c r="F23" s="12">
        <v>183.8</v>
      </c>
      <c r="G23" s="12">
        <v>0</v>
      </c>
      <c r="H23" s="12">
        <v>735.2</v>
      </c>
      <c r="I23" s="19">
        <v>524414</v>
      </c>
      <c r="J23" s="27">
        <f t="shared" si="0"/>
        <v>36.760000000000005</v>
      </c>
      <c r="K23" s="27">
        <f t="shared" si="1"/>
        <v>698.44</v>
      </c>
      <c r="M23" s="15"/>
    </row>
    <row r="24" spans="1:14" x14ac:dyDescent="0.25">
      <c r="A24" s="25">
        <v>41337</v>
      </c>
      <c r="B24" s="13" t="s">
        <v>64</v>
      </c>
      <c r="C24" s="13" t="s">
        <v>65</v>
      </c>
      <c r="D24" s="14" t="s">
        <v>63</v>
      </c>
      <c r="E24" s="12">
        <v>483</v>
      </c>
      <c r="F24" s="12">
        <v>96.6</v>
      </c>
      <c r="G24" s="12">
        <v>0</v>
      </c>
      <c r="H24" s="12">
        <v>386.4</v>
      </c>
      <c r="I24" s="19">
        <v>524417</v>
      </c>
      <c r="J24" s="27">
        <f t="shared" si="0"/>
        <v>19.32</v>
      </c>
      <c r="K24" s="27">
        <f t="shared" si="1"/>
        <v>367.08</v>
      </c>
    </row>
    <row r="25" spans="1:14" x14ac:dyDescent="0.25">
      <c r="A25" s="25">
        <v>41337</v>
      </c>
      <c r="B25" s="13" t="s">
        <v>67</v>
      </c>
      <c r="C25" s="28" t="s">
        <v>68</v>
      </c>
      <c r="D25" s="14" t="s">
        <v>66</v>
      </c>
      <c r="E25" s="12">
        <v>498</v>
      </c>
      <c r="F25" s="12">
        <v>99.6</v>
      </c>
      <c r="G25" s="12">
        <v>0</v>
      </c>
      <c r="H25" s="12">
        <v>398.4</v>
      </c>
      <c r="I25" s="19">
        <v>524420</v>
      </c>
      <c r="J25" s="27">
        <f t="shared" si="0"/>
        <v>19.920000000000002</v>
      </c>
      <c r="K25" s="27">
        <f t="shared" si="1"/>
        <v>378.47999999999996</v>
      </c>
    </row>
    <row r="26" spans="1:14" x14ac:dyDescent="0.25">
      <c r="A26" s="25">
        <v>41338</v>
      </c>
      <c r="B26" s="13" t="s">
        <v>31</v>
      </c>
      <c r="C26" s="28" t="s">
        <v>32</v>
      </c>
      <c r="D26" s="14" t="s">
        <v>24</v>
      </c>
      <c r="E26" s="12">
        <v>390</v>
      </c>
      <c r="F26" s="12">
        <v>78</v>
      </c>
      <c r="G26" s="12">
        <v>0</v>
      </c>
      <c r="H26" s="12">
        <v>312</v>
      </c>
      <c r="I26" s="19">
        <v>524450</v>
      </c>
      <c r="J26" s="27">
        <f t="shared" si="0"/>
        <v>15.600000000000001</v>
      </c>
      <c r="K26" s="27">
        <f t="shared" si="1"/>
        <v>296.39999999999998</v>
      </c>
      <c r="N26" s="15"/>
    </row>
    <row r="27" spans="1:14" x14ac:dyDescent="0.25">
      <c r="A27" s="25">
        <v>41338</v>
      </c>
      <c r="B27" s="13" t="s">
        <v>72</v>
      </c>
      <c r="C27" s="28" t="s">
        <v>73</v>
      </c>
      <c r="D27" s="14" t="s">
        <v>69</v>
      </c>
      <c r="E27" s="12">
        <v>568</v>
      </c>
      <c r="F27" s="12">
        <v>113.6</v>
      </c>
      <c r="G27" s="12">
        <v>0</v>
      </c>
      <c r="H27" s="12">
        <v>454.4</v>
      </c>
      <c r="I27" s="19">
        <v>524452</v>
      </c>
      <c r="J27" s="27">
        <f t="shared" si="0"/>
        <v>22.72</v>
      </c>
      <c r="K27" s="27">
        <f t="shared" si="1"/>
        <v>431.67999999999995</v>
      </c>
    </row>
    <row r="28" spans="1:14" x14ac:dyDescent="0.25">
      <c r="A28" s="25">
        <v>41338</v>
      </c>
      <c r="B28" s="13" t="s">
        <v>74</v>
      </c>
      <c r="C28" s="28" t="s">
        <v>75</v>
      </c>
      <c r="D28" s="14" t="s">
        <v>70</v>
      </c>
      <c r="E28" s="12">
        <v>883</v>
      </c>
      <c r="F28" s="12">
        <v>176.6</v>
      </c>
      <c r="G28" s="12">
        <v>0</v>
      </c>
      <c r="H28" s="12">
        <v>706.4</v>
      </c>
      <c r="I28" s="19">
        <v>524454</v>
      </c>
      <c r="J28" s="27">
        <f t="shared" si="0"/>
        <v>35.32</v>
      </c>
      <c r="K28" s="27">
        <f t="shared" si="1"/>
        <v>671.07999999999993</v>
      </c>
    </row>
    <row r="29" spans="1:14" x14ac:dyDescent="0.25">
      <c r="A29" s="25">
        <v>41338</v>
      </c>
      <c r="B29" s="13" t="s">
        <v>39</v>
      </c>
      <c r="C29" s="28" t="s">
        <v>40</v>
      </c>
      <c r="D29" s="14" t="s">
        <v>28</v>
      </c>
      <c r="E29" s="12">
        <v>600.44000000000005</v>
      </c>
      <c r="F29" s="12">
        <v>114.6</v>
      </c>
      <c r="G29" s="12">
        <v>0</v>
      </c>
      <c r="H29" s="12">
        <v>485.84</v>
      </c>
      <c r="I29" s="19">
        <v>524455</v>
      </c>
      <c r="J29" s="27">
        <f t="shared" si="0"/>
        <v>24.292000000000002</v>
      </c>
      <c r="K29" s="27">
        <f t="shared" si="1"/>
        <v>461.548</v>
      </c>
    </row>
    <row r="30" spans="1:14" x14ac:dyDescent="0.25">
      <c r="A30" s="25">
        <v>41338</v>
      </c>
      <c r="B30" s="13" t="s">
        <v>76</v>
      </c>
      <c r="C30" s="28" t="s">
        <v>77</v>
      </c>
      <c r="D30" s="14" t="s">
        <v>71</v>
      </c>
      <c r="E30" s="12">
        <v>490.58</v>
      </c>
      <c r="F30" s="12">
        <v>96</v>
      </c>
      <c r="G30" s="12">
        <v>0</v>
      </c>
      <c r="H30" s="12">
        <v>394.58</v>
      </c>
      <c r="I30" s="19">
        <v>524479</v>
      </c>
      <c r="J30" s="27">
        <f t="shared" si="0"/>
        <v>19.728999999999999</v>
      </c>
      <c r="K30" s="27">
        <f t="shared" si="1"/>
        <v>374.851</v>
      </c>
    </row>
    <row r="31" spans="1:14" x14ac:dyDescent="0.25">
      <c r="A31" s="54"/>
      <c r="B31" s="54"/>
      <c r="C31" s="54"/>
      <c r="D31" s="54"/>
      <c r="E31" s="29">
        <f>SUM(E8:E30)</f>
        <v>11666.16</v>
      </c>
      <c r="F31" s="29">
        <f>SUM(F8:F30)</f>
        <v>2292.3999999999996</v>
      </c>
      <c r="G31" s="29">
        <f>SUM(G8:G30)</f>
        <v>19.939999999999998</v>
      </c>
      <c r="H31" s="29">
        <f>SUM(H8:H30)</f>
        <v>9393.6999999999971</v>
      </c>
      <c r="I31" s="29"/>
      <c r="J31" s="29">
        <f>SUM(J8:J30)</f>
        <v>469.18099999999998</v>
      </c>
      <c r="K31" s="29">
        <f>SUM(K8:K30)</f>
        <v>8924.5190000000002</v>
      </c>
      <c r="M31" s="15"/>
    </row>
    <row r="32" spans="1:14" x14ac:dyDescent="0.25">
      <c r="A32" s="31"/>
      <c r="B32" s="32"/>
      <c r="C32" s="32"/>
      <c r="D32" s="33"/>
      <c r="E32" s="34"/>
      <c r="F32" s="35"/>
      <c r="G32" s="35"/>
      <c r="H32" s="36"/>
      <c r="I32" s="30"/>
      <c r="J32" s="37"/>
      <c r="K32" s="38"/>
    </row>
    <row r="33" spans="1:13" x14ac:dyDescent="0.25">
      <c r="A33" s="1"/>
      <c r="B33" s="41"/>
      <c r="C33" s="1"/>
      <c r="D33" s="1"/>
      <c r="E33" s="6"/>
      <c r="F33" s="4"/>
      <c r="G33" s="4"/>
      <c r="H33" s="7"/>
      <c r="I33" s="7"/>
      <c r="J33" s="11"/>
      <c r="K33" s="3"/>
    </row>
    <row r="34" spans="1:13" x14ac:dyDescent="0.25">
      <c r="A34" s="2"/>
      <c r="B34" s="55" t="s">
        <v>13</v>
      </c>
      <c r="C34" s="56"/>
      <c r="D34" s="57"/>
      <c r="E34" s="58" t="s">
        <v>14</v>
      </c>
      <c r="F34" s="58"/>
      <c r="G34" s="58"/>
      <c r="H34" s="58"/>
      <c r="I34" s="58"/>
      <c r="J34" s="59"/>
      <c r="K34" s="5"/>
    </row>
    <row r="35" spans="1:13" x14ac:dyDescent="0.25">
      <c r="A35" s="2"/>
      <c r="B35" s="60"/>
      <c r="C35" s="61"/>
      <c r="D35" s="62"/>
      <c r="E35" s="66"/>
      <c r="F35" s="67"/>
      <c r="G35" s="67"/>
      <c r="H35" s="67"/>
      <c r="I35" s="67"/>
      <c r="J35" s="68"/>
      <c r="K35" s="5"/>
    </row>
    <row r="36" spans="1:13" x14ac:dyDescent="0.25">
      <c r="A36" s="1"/>
      <c r="B36" s="63"/>
      <c r="C36" s="64"/>
      <c r="D36" s="65"/>
      <c r="E36" s="69"/>
      <c r="F36" s="70"/>
      <c r="G36" s="70"/>
      <c r="H36" s="70"/>
      <c r="I36" s="70"/>
      <c r="J36" s="71"/>
      <c r="K36" s="1"/>
    </row>
    <row r="37" spans="1:13" x14ac:dyDescent="0.25">
      <c r="A37" s="1"/>
      <c r="B37" s="48" t="s">
        <v>15</v>
      </c>
      <c r="C37" s="49"/>
      <c r="D37" s="50"/>
      <c r="E37" s="51" t="s">
        <v>16</v>
      </c>
      <c r="F37" s="52"/>
      <c r="G37" s="52"/>
      <c r="H37" s="52"/>
      <c r="I37" s="52"/>
      <c r="J37" s="53"/>
      <c r="K37" s="1"/>
    </row>
    <row r="38" spans="1:13" x14ac:dyDescent="0.25">
      <c r="M38" s="15"/>
    </row>
  </sheetData>
  <sortState ref="D8:K124">
    <sortCondition ref="D8"/>
  </sortState>
  <mergeCells count="13">
    <mergeCell ref="A6:K6"/>
    <mergeCell ref="A1:K1"/>
    <mergeCell ref="A2:K2"/>
    <mergeCell ref="A3:K3"/>
    <mergeCell ref="A4:K4"/>
    <mergeCell ref="A5:K5"/>
    <mergeCell ref="B37:D37"/>
    <mergeCell ref="E37:J37"/>
    <mergeCell ref="A31:D31"/>
    <mergeCell ref="B34:D34"/>
    <mergeCell ref="E34:J34"/>
    <mergeCell ref="B35:D36"/>
    <mergeCell ref="E35:J36"/>
  </mergeCells>
  <printOptions horizontalCentered="1"/>
  <pageMargins left="0" right="0" top="0" bottom="0" header="0.31496062992125984" footer="0.31496062992125984"/>
  <pageSetup paperSize="9" scale="9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K18"/>
  <sheetViews>
    <sheetView topLeftCell="A5" workbookViewId="0">
      <selection activeCell="L13" sqref="L13:L14"/>
    </sheetView>
  </sheetViews>
  <sheetFormatPr baseColWidth="10" defaultRowHeight="15" x14ac:dyDescent="0.25"/>
  <cols>
    <col min="1" max="1" width="6.140625" customWidth="1"/>
    <col min="2" max="2" width="7.5703125" customWidth="1"/>
    <col min="3" max="3" width="6.85546875" customWidth="1"/>
    <col min="4" max="4" width="17.28515625" customWidth="1"/>
    <col min="5" max="5" width="6.7109375" customWidth="1"/>
    <col min="6" max="6" width="6.85546875" customWidth="1"/>
    <col min="7" max="7" width="5.28515625" customWidth="1"/>
    <col min="8" max="8" width="7.7109375" customWidth="1"/>
    <col min="9" max="9" width="6.28515625" customWidth="1"/>
    <col min="10" max="10" width="6" customWidth="1"/>
    <col min="11" max="11" width="7.28515625" customWidth="1"/>
  </cols>
  <sheetData>
    <row r="2" spans="1:11" ht="15.75" x14ac:dyDescent="0.3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</row>
    <row r="3" spans="1:11" x14ac:dyDescent="0.25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</row>
    <row r="4" spans="1:11" x14ac:dyDescent="0.25">
      <c r="A4" s="75" t="s">
        <v>2</v>
      </c>
      <c r="B4" s="75"/>
      <c r="C4" s="75"/>
      <c r="D4" s="75"/>
      <c r="E4" s="75"/>
      <c r="F4" s="75"/>
      <c r="G4" s="75"/>
      <c r="H4" s="75"/>
      <c r="I4" s="75"/>
      <c r="J4" s="75"/>
      <c r="K4" s="75"/>
    </row>
    <row r="5" spans="1:11" x14ac:dyDescent="0.25">
      <c r="A5" s="76" t="s">
        <v>3</v>
      </c>
      <c r="B5" s="76"/>
      <c r="C5" s="76"/>
      <c r="D5" s="76"/>
      <c r="E5" s="76"/>
      <c r="F5" s="76"/>
      <c r="G5" s="76"/>
      <c r="H5" s="76"/>
      <c r="I5" s="76"/>
      <c r="J5" s="76"/>
      <c r="K5" s="76"/>
    </row>
    <row r="6" spans="1:11" x14ac:dyDescent="0.25">
      <c r="A6" s="77" t="s">
        <v>17</v>
      </c>
      <c r="B6" s="77"/>
      <c r="C6" s="77"/>
      <c r="D6" s="77"/>
      <c r="E6" s="77"/>
      <c r="F6" s="77"/>
      <c r="G6" s="77"/>
      <c r="H6" s="77"/>
      <c r="I6" s="77"/>
      <c r="J6" s="77"/>
      <c r="K6" s="77"/>
    </row>
    <row r="7" spans="1:11" x14ac:dyDescent="0.25">
      <c r="A7" s="72" t="s">
        <v>21</v>
      </c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1" x14ac:dyDescent="0.25">
      <c r="A8" s="9" t="s">
        <v>4</v>
      </c>
      <c r="B8" s="8" t="s">
        <v>5</v>
      </c>
      <c r="C8" s="8" t="s">
        <v>6</v>
      </c>
      <c r="D8" s="23" t="s">
        <v>18</v>
      </c>
      <c r="E8" s="23" t="s">
        <v>8</v>
      </c>
      <c r="F8" s="10" t="s">
        <v>9</v>
      </c>
      <c r="G8" s="10" t="s">
        <v>11</v>
      </c>
      <c r="H8" s="24" t="s">
        <v>19</v>
      </c>
      <c r="I8" s="23" t="s">
        <v>7</v>
      </c>
      <c r="J8" s="22" t="s">
        <v>10</v>
      </c>
      <c r="K8" s="10" t="s">
        <v>12</v>
      </c>
    </row>
    <row r="9" spans="1:11" x14ac:dyDescent="0.25">
      <c r="A9" s="25"/>
      <c r="B9" s="26"/>
      <c r="C9" s="13"/>
      <c r="D9" s="14"/>
      <c r="E9" s="12"/>
      <c r="F9" s="12"/>
      <c r="G9" s="12"/>
      <c r="H9" s="12"/>
      <c r="I9" s="19"/>
      <c r="J9" s="27">
        <f>H9*5%</f>
        <v>0</v>
      </c>
      <c r="K9" s="27">
        <f>H9-J9</f>
        <v>0</v>
      </c>
    </row>
    <row r="10" spans="1:11" x14ac:dyDescent="0.25">
      <c r="A10" s="25"/>
      <c r="B10" s="26"/>
      <c r="C10" s="13"/>
      <c r="D10" s="14"/>
      <c r="E10" s="12"/>
      <c r="F10" s="12"/>
      <c r="G10" s="12"/>
      <c r="H10" s="12"/>
      <c r="I10" s="19"/>
      <c r="J10" s="27">
        <f t="shared" ref="J10:J11" si="0">H10*5%</f>
        <v>0</v>
      </c>
      <c r="K10" s="27">
        <f t="shared" ref="K10:K11" si="1">H10-J10</f>
        <v>0</v>
      </c>
    </row>
    <row r="11" spans="1:11" x14ac:dyDescent="0.25">
      <c r="A11" s="25"/>
      <c r="B11" s="26"/>
      <c r="C11" s="13"/>
      <c r="D11" s="14"/>
      <c r="E11" s="12"/>
      <c r="F11" s="12"/>
      <c r="G11" s="12"/>
      <c r="H11" s="12"/>
      <c r="I11" s="19"/>
      <c r="J11" s="27">
        <f t="shared" si="0"/>
        <v>0</v>
      </c>
      <c r="K11" s="27">
        <f t="shared" si="1"/>
        <v>0</v>
      </c>
    </row>
    <row r="12" spans="1:11" x14ac:dyDescent="0.25">
      <c r="E12" s="39">
        <f t="shared" ref="E12:H12" si="2">SUM(E9:E11)</f>
        <v>0</v>
      </c>
      <c r="F12" s="39">
        <f t="shared" si="2"/>
        <v>0</v>
      </c>
      <c r="G12" s="39">
        <f t="shared" si="2"/>
        <v>0</v>
      </c>
      <c r="H12" s="39">
        <f t="shared" si="2"/>
        <v>0</v>
      </c>
      <c r="I12" s="39"/>
      <c r="J12" s="39">
        <f>SUM(J9:J11)</f>
        <v>0</v>
      </c>
      <c r="K12" s="39">
        <f>SUM(K9:K11)</f>
        <v>0</v>
      </c>
    </row>
    <row r="15" spans="1:11" x14ac:dyDescent="0.25">
      <c r="B15" s="55" t="s">
        <v>13</v>
      </c>
      <c r="C15" s="56"/>
      <c r="D15" s="57"/>
      <c r="E15" s="58" t="s">
        <v>14</v>
      </c>
      <c r="F15" s="58"/>
      <c r="G15" s="58"/>
      <c r="H15" s="58"/>
      <c r="I15" s="58"/>
      <c r="J15" s="59"/>
    </row>
    <row r="16" spans="1:11" x14ac:dyDescent="0.25">
      <c r="B16" s="60"/>
      <c r="C16" s="61"/>
      <c r="D16" s="62"/>
      <c r="E16" s="66"/>
      <c r="F16" s="67"/>
      <c r="G16" s="67"/>
      <c r="H16" s="67"/>
      <c r="I16" s="67"/>
      <c r="J16" s="68"/>
    </row>
    <row r="17" spans="2:10" x14ac:dyDescent="0.25">
      <c r="B17" s="63"/>
      <c r="C17" s="64"/>
      <c r="D17" s="65"/>
      <c r="E17" s="69"/>
      <c r="F17" s="70"/>
      <c r="G17" s="70"/>
      <c r="H17" s="70"/>
      <c r="I17" s="70"/>
      <c r="J17" s="71"/>
    </row>
    <row r="18" spans="2:10" x14ac:dyDescent="0.25">
      <c r="B18" s="48" t="s">
        <v>15</v>
      </c>
      <c r="C18" s="49"/>
      <c r="D18" s="50"/>
      <c r="E18" s="51" t="s">
        <v>16</v>
      </c>
      <c r="F18" s="52"/>
      <c r="G18" s="52"/>
      <c r="H18" s="52"/>
      <c r="I18" s="52"/>
      <c r="J18" s="53"/>
    </row>
  </sheetData>
  <mergeCells count="12">
    <mergeCell ref="B15:D15"/>
    <mergeCell ref="E15:J15"/>
    <mergeCell ref="B16:D17"/>
    <mergeCell ref="E16:J17"/>
    <mergeCell ref="B18:D18"/>
    <mergeCell ref="E18:J18"/>
    <mergeCell ref="A7:K7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CAPPO</vt:lpstr>
      <vt:lpstr>EMPLEADOS CAPPO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2013-02-18T17:51:02Z</cp:lastPrinted>
  <dcterms:created xsi:type="dcterms:W3CDTF">2011-11-14T15:12:23Z</dcterms:created>
  <dcterms:modified xsi:type="dcterms:W3CDTF">2013-04-11T17:51:28Z</dcterms:modified>
</cp:coreProperties>
</file>