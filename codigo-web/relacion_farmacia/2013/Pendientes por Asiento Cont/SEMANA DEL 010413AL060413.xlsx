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35" windowHeight="8130"/>
  </bookViews>
  <sheets>
    <sheet name="CAPPO" sheetId="1" r:id="rId1"/>
    <sheet name="EMPLEADOS CAPPO" sheetId="2" r:id="rId2"/>
  </sheets>
  <calcPr calcId="144525"/>
</workbook>
</file>

<file path=xl/calcChain.xml><?xml version="1.0" encoding="utf-8"?>
<calcChain xmlns="http://schemas.openxmlformats.org/spreadsheetml/2006/main">
  <c r="K33" i="1" l="1"/>
  <c r="E33" i="1" l="1"/>
  <c r="H33" i="1"/>
  <c r="G33" i="1"/>
  <c r="F33" i="1"/>
  <c r="J29" i="1"/>
  <c r="K29" i="1" s="1"/>
  <c r="J25" i="1"/>
  <c r="K25" i="1" s="1"/>
  <c r="K26" i="1"/>
  <c r="J15" i="1"/>
  <c r="K15" i="1" s="1"/>
  <c r="J22" i="1" l="1"/>
  <c r="J23" i="1"/>
  <c r="K23" i="1" s="1"/>
  <c r="J19" i="1"/>
  <c r="K19" i="1" s="1"/>
  <c r="J21" i="1"/>
  <c r="K21" i="1" s="1"/>
  <c r="J11" i="1"/>
  <c r="J30" i="1"/>
  <c r="K30" i="1" s="1"/>
  <c r="J31" i="1"/>
  <c r="J32" i="1"/>
  <c r="K32" i="1" s="1"/>
  <c r="J24" i="1"/>
  <c r="J8" i="1"/>
  <c r="K9" i="1"/>
  <c r="J28" i="1"/>
  <c r="K28" i="1" s="1"/>
  <c r="J14" i="1"/>
  <c r="J13" i="1"/>
  <c r="K13" i="1" s="1"/>
  <c r="J12" i="1"/>
  <c r="K12" i="1" s="1"/>
  <c r="J20" i="1"/>
  <c r="K20" i="1" s="1"/>
  <c r="J27" i="1"/>
  <c r="K27" i="1" s="1"/>
  <c r="J10" i="1"/>
  <c r="K10" i="1" s="1"/>
  <c r="J16" i="1"/>
  <c r="K16" i="1" s="1"/>
  <c r="J17" i="1"/>
  <c r="K17" i="1" s="1"/>
  <c r="J18" i="1"/>
  <c r="K18" i="1" s="1"/>
  <c r="K31" i="1"/>
  <c r="K24" i="1"/>
  <c r="K22" i="1"/>
  <c r="H12" i="2"/>
  <c r="G12" i="2"/>
  <c r="F12" i="2"/>
  <c r="E12" i="2"/>
  <c r="K11" i="1"/>
  <c r="K14" i="1"/>
  <c r="J10" i="2"/>
  <c r="J11" i="2"/>
  <c r="K11" i="2" s="1"/>
  <c r="K10" i="2"/>
  <c r="K9" i="2"/>
  <c r="K12" i="2" s="1"/>
  <c r="J9" i="2"/>
  <c r="J12" i="2" l="1"/>
  <c r="J33" i="1"/>
  <c r="K8" i="1"/>
</calcChain>
</file>

<file path=xl/sharedStrings.xml><?xml version="1.0" encoding="utf-8"?>
<sst xmlns="http://schemas.openxmlformats.org/spreadsheetml/2006/main" count="117" uniqueCount="79">
  <si>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</si>
  <si>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</si>
  <si>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</si>
  <si>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</si>
  <si>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</si>
  <si>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</si>
  <si>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</si>
  <si>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</si>
  <si>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</si>
  <si>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Clte.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</si>
  <si>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</si>
  <si>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</si>
  <si>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</si>
  <si>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</si>
  <si>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</si>
  <si>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</si>
  <si>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</si>
  <si>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</si>
  <si>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</si>
  <si>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</si>
  <si>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Desde  01/02/13 Hasta: 16/02/13</t>
  </si>
  <si>
    <t>ALVARADO  RAMON</t>
  </si>
  <si>
    <t>PEREZ JOSE</t>
  </si>
  <si>
    <t>Desde  01/04/13 Hasta:  06/04/13</t>
  </si>
  <si>
    <t>GARRIDO  YAMILETH</t>
  </si>
  <si>
    <t>HUGGINS ALVES</t>
  </si>
  <si>
    <t>GONZALEZ ANDRES</t>
  </si>
  <si>
    <t>HERNANDEZ  CARLOS</t>
  </si>
  <si>
    <t>UZCATEGUI  EDUARDO</t>
  </si>
  <si>
    <t>LINAREZ OMAR</t>
  </si>
  <si>
    <t>ALVARADO  OTTO</t>
  </si>
  <si>
    <t>MENDOZA  JORGE</t>
  </si>
  <si>
    <t>ESCALONA DIONICIO</t>
  </si>
  <si>
    <t>CASTILLO HONORIO</t>
  </si>
  <si>
    <t>CASTILLO  JOSE</t>
  </si>
  <si>
    <t>GONZALEZ GERARDO</t>
  </si>
  <si>
    <t>MENDEZ MARLENE</t>
  </si>
  <si>
    <t>ALVARADO  PEDRO</t>
  </si>
  <si>
    <t>ORELLANA B. WILLIAM</t>
  </si>
  <si>
    <t>ESCALONA OVIEDO CARLOS</t>
  </si>
  <si>
    <t>LUCENA CARMEN</t>
  </si>
  <si>
    <t>7325722</t>
  </si>
  <si>
    <t>00128</t>
  </si>
  <si>
    <t>2186056</t>
  </si>
  <si>
    <t>00140</t>
  </si>
  <si>
    <t>10784623</t>
  </si>
  <si>
    <t>00114</t>
  </si>
  <si>
    <t>9626215</t>
  </si>
  <si>
    <t>00374</t>
  </si>
  <si>
    <t>9540845</t>
  </si>
  <si>
    <t>00355</t>
  </si>
  <si>
    <t>9620701</t>
  </si>
  <si>
    <t>00624</t>
  </si>
  <si>
    <t>14143188</t>
  </si>
  <si>
    <t>00633</t>
  </si>
  <si>
    <t>7437806</t>
  </si>
  <si>
    <t>00877</t>
  </si>
  <si>
    <t>13032012</t>
  </si>
  <si>
    <t>00942</t>
  </si>
  <si>
    <t>7447067</t>
  </si>
  <si>
    <t>00936</t>
  </si>
  <si>
    <t>7415285</t>
  </si>
  <si>
    <t>00908</t>
  </si>
  <si>
    <t>4739796</t>
  </si>
  <si>
    <t>00911</t>
  </si>
  <si>
    <t>11787807</t>
  </si>
  <si>
    <t>01347</t>
  </si>
  <si>
    <t>4238916</t>
  </si>
  <si>
    <t>01313</t>
  </si>
  <si>
    <t>9617493</t>
  </si>
  <si>
    <t>01463</t>
  </si>
  <si>
    <t>5257774</t>
  </si>
  <si>
    <t>01465</t>
  </si>
  <si>
    <t>7419340</t>
  </si>
  <si>
    <t>01617</t>
  </si>
  <si>
    <t>7418939</t>
  </si>
  <si>
    <t>01820</t>
  </si>
  <si>
    <t>9607091</t>
  </si>
  <si>
    <t>02204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</si>
</sst>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10"/>
      <name val="Agency FB"/>
      <family val="2"/>
    </font>
    <font>
      <sz val="8"/>
      <name val="Agency FB"/>
      <family val="2"/>
    </font>
    <font>
      <b/>
      <sz val="9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1"/>
    <xf numFmtId="0" fontId="3" fillId="0" borderId="0" xfId="1" applyFont="1" applyAlignme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 applyBorder="1"/>
    <xf numFmtId="164" fontId="3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Fill="1" applyBorder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right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4" fillId="0" borderId="7" xfId="1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5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49" fontId="16" fillId="0" borderId="7" xfId="1" applyNumberFormat="1" applyFont="1" applyBorder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49" fontId="13" fillId="0" borderId="0" xfId="1" applyNumberFormat="1" applyFont="1" applyFill="1" applyBorder="1" applyAlignment="1">
      <alignment horizontal="center"/>
    </xf>
    <xf numFmtId="167" fontId="16" fillId="0" borderId="0" xfId="1" applyNumberFormat="1" applyFont="1" applyBorder="1"/>
    <xf numFmtId="49" fontId="16" fillId="0" borderId="0" xfId="1" applyNumberFormat="1" applyFont="1" applyBorder="1"/>
    <xf numFmtId="0" fontId="16" fillId="0" borderId="0" xfId="1" applyFont="1" applyBorder="1"/>
    <xf numFmtId="2" fontId="13" fillId="0" borderId="0" xfId="1" applyNumberFormat="1" applyFont="1" applyBorder="1" applyAlignment="1">
      <alignment horizontal="center"/>
    </xf>
    <xf numFmtId="2" fontId="13" fillId="0" borderId="0" xfId="1" applyNumberFormat="1" applyFont="1" applyBorder="1"/>
    <xf numFmtId="2" fontId="13" fillId="0" borderId="0" xfId="1" applyNumberFormat="1" applyFont="1" applyFill="1" applyBorder="1" applyAlignment="1">
      <alignment horizontal="right"/>
    </xf>
    <xf numFmtId="164" fontId="17" fillId="0" borderId="0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164" fontId="18" fillId="0" borderId="0" xfId="0" applyNumberFormat="1" applyFont="1"/>
    <xf numFmtId="49" fontId="6" fillId="0" borderId="7" xfId="1" applyNumberFormat="1" applyFont="1" applyBorder="1" applyAlignment="1">
      <alignment horizontal="center"/>
    </xf>
    <xf numFmtId="49" fontId="1" fillId="0" borderId="0" xfId="1" applyNumberFormat="1"/>
    <xf numFmtId="49" fontId="0" fillId="0" borderId="0" xfId="0" applyNumberFormat="1"/>
    <xf numFmtId="49" fontId="12" fillId="0" borderId="1" xfId="1" applyNumberFormat="1" applyFont="1" applyBorder="1" applyAlignment="1">
      <alignment horizontal="center"/>
    </xf>
    <xf numFmtId="3" fontId="11" fillId="0" borderId="7" xfId="0" applyNumberFormat="1" applyFont="1" applyBorder="1"/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114299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161924</xdr:rowOff>
    </xdr:from>
    <xdr:to>
      <xdr:col>2</xdr:col>
      <xdr:colOff>180975</xdr:colOff>
      <xdr:row>6</xdr:row>
      <xdr:rowOff>85724</xdr:rowOff>
    </xdr:to>
    <xdr:pic>
      <xdr:nvPicPr>
        <xdr:cNvPr id="2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52424"/>
          <a:ext cx="952500" cy="8858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N40"/>
  <sheetViews>
    <sheetView tabSelected="1" workbookViewId="0">
      <selection activeCell="K34" sqref="K34"/>
    </sheetView>
  </sheetViews>
  <sheetFormatPr baseColWidth="10" defaultRowHeight="15" x14ac:dyDescent="0.25"/>
  <cols>
    <col min="1" max="1" width="6.7109375" customWidth="1"/>
    <col min="2" max="2" width="7.140625" style="42" customWidth="1"/>
    <col min="3" max="3" width="7" customWidth="1"/>
    <col min="4" max="4" width="20.7109375" customWidth="1"/>
    <col min="5" max="5" width="8.42578125" customWidth="1"/>
    <col min="6" max="6" width="7.42578125" customWidth="1"/>
    <col min="7" max="7" width="7.28515625" customWidth="1"/>
    <col min="8" max="8" width="7.85546875" customWidth="1"/>
    <col min="9" max="9" width="6.5703125" customWidth="1"/>
    <col min="10" max="10" width="6.42578125" customWidth="1"/>
    <col min="11" max="11" width="8.28515625" customWidth="1"/>
  </cols>
  <sheetData>
    <row r="1" spans="1:12" ht="15.75" x14ac:dyDescent="0.3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16"/>
    </row>
    <row r="2" spans="1:12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17"/>
    </row>
    <row r="3" spans="1:12" x14ac:dyDescent="0.25">
      <c r="A3" s="72" t="s">
        <v>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18"/>
    </row>
    <row r="4" spans="1:12" x14ac:dyDescent="0.25">
      <c r="A4" s="73" t="s">
        <v>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20"/>
    </row>
    <row r="5" spans="1:12" x14ac:dyDescent="0.25">
      <c r="A5" s="74" t="s">
        <v>17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21"/>
    </row>
    <row r="6" spans="1:12" x14ac:dyDescent="0.25">
      <c r="A6" s="69" t="s">
        <v>23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20"/>
    </row>
    <row r="7" spans="1:12" x14ac:dyDescent="0.25">
      <c r="A7" s="9" t="s">
        <v>4</v>
      </c>
      <c r="B7" s="40" t="s">
        <v>5</v>
      </c>
      <c r="C7" s="8" t="s">
        <v>6</v>
      </c>
      <c r="D7" s="23" t="s">
        <v>18</v>
      </c>
      <c r="E7" s="23" t="s">
        <v>8</v>
      </c>
      <c r="F7" s="10" t="s">
        <v>9</v>
      </c>
      <c r="G7" s="10" t="s">
        <v>11</v>
      </c>
      <c r="H7" s="24" t="s">
        <v>19</v>
      </c>
      <c r="I7" s="23" t="s">
        <v>7</v>
      </c>
      <c r="J7" s="22" t="s">
        <v>10</v>
      </c>
      <c r="K7" s="10" t="s">
        <v>12</v>
      </c>
      <c r="L7" s="1"/>
    </row>
    <row r="8" spans="1:12" x14ac:dyDescent="0.25">
      <c r="A8" s="25">
        <v>41365</v>
      </c>
      <c r="B8" s="13" t="s">
        <v>41</v>
      </c>
      <c r="C8" s="43" t="s">
        <v>42</v>
      </c>
      <c r="D8" s="14" t="s">
        <v>30</v>
      </c>
      <c r="E8" s="12">
        <v>593</v>
      </c>
      <c r="F8" s="12">
        <v>118.6</v>
      </c>
      <c r="G8" s="12">
        <v>0</v>
      </c>
      <c r="H8" s="12">
        <v>474.4</v>
      </c>
      <c r="I8" s="44">
        <v>525416</v>
      </c>
      <c r="J8" s="27">
        <f>H8*5%</f>
        <v>23.72</v>
      </c>
      <c r="K8" s="27">
        <f t="shared" ref="K8:K32" si="0">H8-J8</f>
        <v>450.67999999999995</v>
      </c>
      <c r="L8" s="1"/>
    </row>
    <row r="9" spans="1:12" x14ac:dyDescent="0.25">
      <c r="A9" s="25">
        <v>41365</v>
      </c>
      <c r="B9" s="13" t="s">
        <v>41</v>
      </c>
      <c r="C9" s="43" t="s">
        <v>42</v>
      </c>
      <c r="D9" s="14" t="s">
        <v>30</v>
      </c>
      <c r="E9" s="12">
        <v>10.4</v>
      </c>
      <c r="F9" s="12">
        <v>0</v>
      </c>
      <c r="G9" s="12">
        <v>0</v>
      </c>
      <c r="H9" s="12">
        <v>10.4</v>
      </c>
      <c r="I9" s="44">
        <v>525418</v>
      </c>
      <c r="J9" s="27">
        <v>0</v>
      </c>
      <c r="K9" s="27">
        <f t="shared" si="0"/>
        <v>10.4</v>
      </c>
      <c r="L9" s="1"/>
    </row>
    <row r="10" spans="1:12" x14ac:dyDescent="0.25">
      <c r="A10" s="25">
        <v>41365</v>
      </c>
      <c r="B10" s="13" t="s">
        <v>43</v>
      </c>
      <c r="C10" s="43" t="s">
        <v>44</v>
      </c>
      <c r="D10" s="14" t="s">
        <v>37</v>
      </c>
      <c r="E10" s="12">
        <v>279</v>
      </c>
      <c r="F10" s="12">
        <v>55.8</v>
      </c>
      <c r="G10" s="12">
        <v>0</v>
      </c>
      <c r="H10" s="12">
        <v>223.2</v>
      </c>
      <c r="I10" s="19">
        <v>525576</v>
      </c>
      <c r="J10" s="27">
        <f t="shared" ref="J10:J32" si="1">H10*5%</f>
        <v>11.16</v>
      </c>
      <c r="K10" s="27">
        <f t="shared" si="0"/>
        <v>212.04</v>
      </c>
      <c r="L10" s="1"/>
    </row>
    <row r="11" spans="1:12" x14ac:dyDescent="0.25">
      <c r="A11" s="25">
        <v>41365</v>
      </c>
      <c r="B11" s="13" t="s">
        <v>45</v>
      </c>
      <c r="C11" s="43" t="s">
        <v>46</v>
      </c>
      <c r="D11" s="14" t="s">
        <v>21</v>
      </c>
      <c r="E11" s="12">
        <v>259</v>
      </c>
      <c r="F11" s="12">
        <v>46</v>
      </c>
      <c r="G11" s="12">
        <v>0</v>
      </c>
      <c r="H11" s="12">
        <v>213</v>
      </c>
      <c r="I11" s="44">
        <v>525397</v>
      </c>
      <c r="J11" s="27">
        <f t="shared" si="1"/>
        <v>10.65</v>
      </c>
      <c r="K11" s="27">
        <f t="shared" si="0"/>
        <v>202.35</v>
      </c>
      <c r="L11" s="1"/>
    </row>
    <row r="12" spans="1:12" x14ac:dyDescent="0.25">
      <c r="A12" s="25">
        <v>41365</v>
      </c>
      <c r="B12" s="13" t="s">
        <v>47</v>
      </c>
      <c r="C12" s="43" t="s">
        <v>48</v>
      </c>
      <c r="D12" s="14" t="s">
        <v>34</v>
      </c>
      <c r="E12" s="12">
        <v>666</v>
      </c>
      <c r="F12" s="12">
        <v>133.19999999999999</v>
      </c>
      <c r="G12" s="12">
        <v>0</v>
      </c>
      <c r="H12" s="12">
        <v>532.79999999999995</v>
      </c>
      <c r="I12" s="19">
        <v>525470</v>
      </c>
      <c r="J12" s="27">
        <f t="shared" si="1"/>
        <v>26.64</v>
      </c>
      <c r="K12" s="27">
        <f t="shared" si="0"/>
        <v>506.15999999999997</v>
      </c>
      <c r="L12" s="1"/>
    </row>
    <row r="13" spans="1:12" x14ac:dyDescent="0.25">
      <c r="A13" s="25">
        <v>41365</v>
      </c>
      <c r="B13" s="13" t="s">
        <v>49</v>
      </c>
      <c r="C13" s="43" t="s">
        <v>50</v>
      </c>
      <c r="D13" s="14" t="s">
        <v>33</v>
      </c>
      <c r="E13" s="12">
        <v>165</v>
      </c>
      <c r="F13" s="12">
        <v>28</v>
      </c>
      <c r="G13" s="12">
        <v>0</v>
      </c>
      <c r="H13" s="12">
        <v>137</v>
      </c>
      <c r="I13" s="44">
        <v>525441</v>
      </c>
      <c r="J13" s="27">
        <f t="shared" si="1"/>
        <v>6.8500000000000005</v>
      </c>
      <c r="K13" s="27">
        <f t="shared" si="0"/>
        <v>130.15</v>
      </c>
      <c r="L13" s="1"/>
    </row>
    <row r="14" spans="1:12" x14ac:dyDescent="0.25">
      <c r="A14" s="25">
        <v>41365</v>
      </c>
      <c r="B14" s="13" t="s">
        <v>51</v>
      </c>
      <c r="C14" s="43" t="s">
        <v>52</v>
      </c>
      <c r="D14" s="14" t="s">
        <v>32</v>
      </c>
      <c r="E14" s="12">
        <v>235</v>
      </c>
      <c r="F14" s="12">
        <v>47</v>
      </c>
      <c r="G14" s="12">
        <v>0</v>
      </c>
      <c r="H14" s="12">
        <v>188</v>
      </c>
      <c r="I14" s="44">
        <v>525428</v>
      </c>
      <c r="J14" s="27">
        <f t="shared" si="1"/>
        <v>9.4</v>
      </c>
      <c r="K14" s="27">
        <f t="shared" si="0"/>
        <v>178.6</v>
      </c>
      <c r="L14" s="1"/>
    </row>
    <row r="15" spans="1:12" x14ac:dyDescent="0.25">
      <c r="A15" s="25">
        <v>41365</v>
      </c>
      <c r="B15" s="13" t="s">
        <v>53</v>
      </c>
      <c r="C15" s="43" t="s">
        <v>54</v>
      </c>
      <c r="D15" s="14" t="s">
        <v>39</v>
      </c>
      <c r="E15" s="12">
        <v>80</v>
      </c>
      <c r="F15" s="12">
        <v>16</v>
      </c>
      <c r="G15" s="12">
        <v>0</v>
      </c>
      <c r="H15" s="12">
        <v>64</v>
      </c>
      <c r="I15" s="19">
        <v>525642</v>
      </c>
      <c r="J15" s="27">
        <f t="shared" si="1"/>
        <v>3.2</v>
      </c>
      <c r="K15" s="27">
        <f t="shared" si="0"/>
        <v>60.8</v>
      </c>
      <c r="L15" s="1"/>
    </row>
    <row r="16" spans="1:12" x14ac:dyDescent="0.25">
      <c r="A16" s="25">
        <v>41365</v>
      </c>
      <c r="B16" s="13" t="s">
        <v>53</v>
      </c>
      <c r="C16" s="43" t="s">
        <v>54</v>
      </c>
      <c r="D16" s="14" t="s">
        <v>39</v>
      </c>
      <c r="E16" s="12">
        <v>187</v>
      </c>
      <c r="F16" s="12">
        <v>37.4</v>
      </c>
      <c r="G16" s="12">
        <v>0</v>
      </c>
      <c r="H16" s="12">
        <v>149.6</v>
      </c>
      <c r="I16" s="19">
        <v>525600</v>
      </c>
      <c r="J16" s="27">
        <f t="shared" si="1"/>
        <v>7.48</v>
      </c>
      <c r="K16" s="27">
        <f t="shared" si="0"/>
        <v>142.12</v>
      </c>
      <c r="L16" s="1"/>
    </row>
    <row r="17" spans="1:14" x14ac:dyDescent="0.25">
      <c r="A17" s="25">
        <v>41365</v>
      </c>
      <c r="B17" s="13" t="s">
        <v>53</v>
      </c>
      <c r="C17" s="43" t="s">
        <v>54</v>
      </c>
      <c r="D17" s="14" t="s">
        <v>39</v>
      </c>
      <c r="E17" s="12">
        <v>251</v>
      </c>
      <c r="F17" s="12">
        <v>42.8</v>
      </c>
      <c r="G17" s="12">
        <v>0</v>
      </c>
      <c r="H17" s="12">
        <v>208.2</v>
      </c>
      <c r="I17" s="19">
        <v>525601</v>
      </c>
      <c r="J17" s="27">
        <f t="shared" si="1"/>
        <v>10.41</v>
      </c>
      <c r="K17" s="27">
        <f t="shared" si="0"/>
        <v>197.79</v>
      </c>
      <c r="L17" s="1"/>
    </row>
    <row r="18" spans="1:14" x14ac:dyDescent="0.25">
      <c r="A18" s="25">
        <v>41365</v>
      </c>
      <c r="B18" s="13" t="s">
        <v>55</v>
      </c>
      <c r="C18" s="43" t="s">
        <v>56</v>
      </c>
      <c r="D18" s="14" t="s">
        <v>24</v>
      </c>
      <c r="E18" s="12">
        <v>525</v>
      </c>
      <c r="F18" s="12">
        <v>105</v>
      </c>
      <c r="G18" s="12">
        <v>0</v>
      </c>
      <c r="H18" s="12">
        <v>420</v>
      </c>
      <c r="I18" s="44">
        <v>525383</v>
      </c>
      <c r="J18" s="27">
        <f t="shared" si="1"/>
        <v>21</v>
      </c>
      <c r="K18" s="27">
        <f t="shared" si="0"/>
        <v>399</v>
      </c>
      <c r="M18" s="15"/>
    </row>
    <row r="19" spans="1:14" x14ac:dyDescent="0.25">
      <c r="A19" s="25">
        <v>41365</v>
      </c>
      <c r="B19" s="13" t="s">
        <v>57</v>
      </c>
      <c r="C19" s="43" t="s">
        <v>58</v>
      </c>
      <c r="D19" s="14" t="s">
        <v>26</v>
      </c>
      <c r="E19" s="12">
        <v>265</v>
      </c>
      <c r="F19" s="12">
        <v>53</v>
      </c>
      <c r="G19" s="12">
        <v>0</v>
      </c>
      <c r="H19" s="12">
        <v>212</v>
      </c>
      <c r="I19" s="44">
        <v>525393</v>
      </c>
      <c r="J19" s="27">
        <f t="shared" si="1"/>
        <v>10.600000000000001</v>
      </c>
      <c r="K19" s="27">
        <f t="shared" si="0"/>
        <v>201.4</v>
      </c>
    </row>
    <row r="20" spans="1:14" x14ac:dyDescent="0.25">
      <c r="A20" s="25">
        <v>41365</v>
      </c>
      <c r="B20" s="13" t="s">
        <v>59</v>
      </c>
      <c r="C20" s="43" t="s">
        <v>60</v>
      </c>
      <c r="D20" s="14" t="s">
        <v>35</v>
      </c>
      <c r="E20" s="12">
        <v>639</v>
      </c>
      <c r="F20" s="12">
        <v>127.8</v>
      </c>
      <c r="G20" s="12">
        <v>0</v>
      </c>
      <c r="H20" s="12">
        <v>511.2</v>
      </c>
      <c r="I20" s="19">
        <v>525472</v>
      </c>
      <c r="J20" s="27">
        <f t="shared" si="1"/>
        <v>25.560000000000002</v>
      </c>
      <c r="K20" s="27">
        <f t="shared" si="0"/>
        <v>485.64</v>
      </c>
    </row>
    <row r="21" spans="1:14" x14ac:dyDescent="0.25">
      <c r="A21" s="25">
        <v>41365</v>
      </c>
      <c r="B21" s="13" t="s">
        <v>61</v>
      </c>
      <c r="C21" s="43" t="s">
        <v>62</v>
      </c>
      <c r="D21" s="14" t="s">
        <v>27</v>
      </c>
      <c r="E21" s="12">
        <v>369</v>
      </c>
      <c r="F21" s="12">
        <v>73.8</v>
      </c>
      <c r="G21" s="12">
        <v>0</v>
      </c>
      <c r="H21" s="12">
        <v>295.2</v>
      </c>
      <c r="I21" s="44">
        <v>525394</v>
      </c>
      <c r="J21" s="27">
        <f t="shared" si="1"/>
        <v>14.76</v>
      </c>
      <c r="K21" s="27">
        <f t="shared" si="0"/>
        <v>280.44</v>
      </c>
    </row>
    <row r="22" spans="1:14" x14ac:dyDescent="0.25">
      <c r="A22" s="25">
        <v>41365</v>
      </c>
      <c r="B22" s="13" t="s">
        <v>63</v>
      </c>
      <c r="C22" s="43" t="s">
        <v>64</v>
      </c>
      <c r="D22" s="14" t="s">
        <v>25</v>
      </c>
      <c r="E22" s="12">
        <v>876.28</v>
      </c>
      <c r="F22" s="12">
        <v>167.8</v>
      </c>
      <c r="G22" s="12">
        <v>0</v>
      </c>
      <c r="H22" s="12">
        <v>708.48</v>
      </c>
      <c r="I22" s="44">
        <v>525385</v>
      </c>
      <c r="J22" s="27">
        <f t="shared" si="1"/>
        <v>35.423999999999999</v>
      </c>
      <c r="K22" s="27">
        <f t="shared" si="0"/>
        <v>673.05600000000004</v>
      </c>
    </row>
    <row r="23" spans="1:14" x14ac:dyDescent="0.25">
      <c r="A23" s="25">
        <v>41366</v>
      </c>
      <c r="B23" s="13" t="s">
        <v>63</v>
      </c>
      <c r="C23" s="43" t="s">
        <v>64</v>
      </c>
      <c r="D23" s="14" t="s">
        <v>25</v>
      </c>
      <c r="E23" s="12">
        <v>243.24</v>
      </c>
      <c r="F23" s="12">
        <v>48.65</v>
      </c>
      <c r="G23" s="12">
        <v>0</v>
      </c>
      <c r="H23" s="12">
        <v>194.59</v>
      </c>
      <c r="I23" s="44">
        <v>525386</v>
      </c>
      <c r="J23" s="27">
        <f t="shared" si="1"/>
        <v>9.7295000000000016</v>
      </c>
      <c r="K23" s="27">
        <f t="shared" si="0"/>
        <v>184.8605</v>
      </c>
      <c r="M23" s="15"/>
    </row>
    <row r="24" spans="1:14" x14ac:dyDescent="0.25">
      <c r="A24" s="25">
        <v>41366</v>
      </c>
      <c r="B24" s="13" t="s">
        <v>65</v>
      </c>
      <c r="C24" s="13" t="s">
        <v>66</v>
      </c>
      <c r="D24" s="14" t="s">
        <v>29</v>
      </c>
      <c r="E24" s="12">
        <v>203</v>
      </c>
      <c r="F24" s="12">
        <v>38.4</v>
      </c>
      <c r="G24" s="12">
        <v>0</v>
      </c>
      <c r="H24" s="12">
        <v>164.6</v>
      </c>
      <c r="I24" s="44">
        <v>525408</v>
      </c>
      <c r="J24" s="27">
        <f t="shared" si="1"/>
        <v>8.23</v>
      </c>
      <c r="K24" s="27">
        <f t="shared" si="0"/>
        <v>156.37</v>
      </c>
    </row>
    <row r="25" spans="1:14" x14ac:dyDescent="0.25">
      <c r="A25" s="25">
        <v>41366</v>
      </c>
      <c r="B25" s="13" t="s">
        <v>67</v>
      </c>
      <c r="C25" s="28" t="s">
        <v>68</v>
      </c>
      <c r="D25" s="14" t="s">
        <v>40</v>
      </c>
      <c r="E25" s="12">
        <v>186</v>
      </c>
      <c r="F25" s="12">
        <v>37.200000000000003</v>
      </c>
      <c r="G25" s="12">
        <v>0</v>
      </c>
      <c r="H25" s="12">
        <v>148.80000000000001</v>
      </c>
      <c r="I25" s="19">
        <v>525620</v>
      </c>
      <c r="J25" s="27">
        <f t="shared" si="1"/>
        <v>7.4400000000000013</v>
      </c>
      <c r="K25" s="27">
        <f t="shared" si="0"/>
        <v>141.36000000000001</v>
      </c>
    </row>
    <row r="26" spans="1:14" x14ac:dyDescent="0.25">
      <c r="A26" s="25">
        <v>41368</v>
      </c>
      <c r="B26" s="13" t="s">
        <v>67</v>
      </c>
      <c r="C26" s="28" t="s">
        <v>68</v>
      </c>
      <c r="D26" s="14" t="s">
        <v>40</v>
      </c>
      <c r="E26" s="12">
        <v>25</v>
      </c>
      <c r="F26" s="12">
        <v>0</v>
      </c>
      <c r="G26" s="12">
        <v>3</v>
      </c>
      <c r="H26" s="12">
        <v>28</v>
      </c>
      <c r="I26" s="19">
        <v>525621</v>
      </c>
      <c r="J26" s="27">
        <v>0</v>
      </c>
      <c r="K26" s="27">
        <f t="shared" si="0"/>
        <v>28</v>
      </c>
    </row>
    <row r="27" spans="1:14" x14ac:dyDescent="0.25">
      <c r="A27" s="25">
        <v>41368</v>
      </c>
      <c r="B27" s="13" t="s">
        <v>69</v>
      </c>
      <c r="C27" s="28" t="s">
        <v>70</v>
      </c>
      <c r="D27" s="14" t="s">
        <v>36</v>
      </c>
      <c r="E27" s="12">
        <v>442.31</v>
      </c>
      <c r="F27" s="12">
        <v>74</v>
      </c>
      <c r="G27" s="12">
        <v>8.68</v>
      </c>
      <c r="H27" s="12">
        <v>376.99</v>
      </c>
      <c r="I27" s="19">
        <v>525479</v>
      </c>
      <c r="J27" s="27">
        <f t="shared" si="1"/>
        <v>18.849500000000003</v>
      </c>
      <c r="K27" s="27">
        <f t="shared" si="0"/>
        <v>358.14050000000003</v>
      </c>
    </row>
    <row r="28" spans="1:14" x14ac:dyDescent="0.25">
      <c r="A28" s="25">
        <v>41368</v>
      </c>
      <c r="B28" s="13" t="s">
        <v>71</v>
      </c>
      <c r="C28" s="28" t="s">
        <v>72</v>
      </c>
      <c r="D28" s="14" t="s">
        <v>31</v>
      </c>
      <c r="E28" s="12">
        <v>386</v>
      </c>
      <c r="F28" s="12">
        <v>77.2</v>
      </c>
      <c r="G28" s="12">
        <v>0</v>
      </c>
      <c r="H28" s="12">
        <v>308.8</v>
      </c>
      <c r="I28" s="44">
        <v>525425</v>
      </c>
      <c r="J28" s="27">
        <f t="shared" si="1"/>
        <v>15.440000000000001</v>
      </c>
      <c r="K28" s="27">
        <f t="shared" si="0"/>
        <v>293.36</v>
      </c>
    </row>
    <row r="29" spans="1:14" x14ac:dyDescent="0.25">
      <c r="A29" s="25">
        <v>41368</v>
      </c>
      <c r="B29" s="13" t="s">
        <v>73</v>
      </c>
      <c r="C29" s="28" t="s">
        <v>74</v>
      </c>
      <c r="D29" s="14" t="s">
        <v>38</v>
      </c>
      <c r="E29" s="12">
        <v>106</v>
      </c>
      <c r="F29" s="12">
        <v>21.2</v>
      </c>
      <c r="G29" s="12">
        <v>0</v>
      </c>
      <c r="H29" s="12">
        <v>84.8</v>
      </c>
      <c r="I29" s="19">
        <v>525612</v>
      </c>
      <c r="J29" s="27">
        <f t="shared" si="1"/>
        <v>4.24</v>
      </c>
      <c r="K29" s="27">
        <f t="shared" si="0"/>
        <v>80.56</v>
      </c>
    </row>
    <row r="30" spans="1:14" x14ac:dyDescent="0.25">
      <c r="A30" s="25">
        <v>41369</v>
      </c>
      <c r="B30" s="13" t="s">
        <v>75</v>
      </c>
      <c r="C30" s="28" t="s">
        <v>76</v>
      </c>
      <c r="D30" s="14" t="s">
        <v>22</v>
      </c>
      <c r="E30" s="12">
        <v>132</v>
      </c>
      <c r="F30" s="12">
        <v>26.4</v>
      </c>
      <c r="G30" s="12">
        <v>0</v>
      </c>
      <c r="H30" s="12">
        <v>105.6</v>
      </c>
      <c r="I30" s="44">
        <v>525398</v>
      </c>
      <c r="J30" s="27">
        <f t="shared" si="1"/>
        <v>5.28</v>
      </c>
      <c r="K30" s="27">
        <f t="shared" si="0"/>
        <v>100.32</v>
      </c>
    </row>
    <row r="31" spans="1:14" x14ac:dyDescent="0.25">
      <c r="A31" s="25">
        <v>41369</v>
      </c>
      <c r="B31" s="13" t="s">
        <v>77</v>
      </c>
      <c r="C31" s="28" t="s">
        <v>78</v>
      </c>
      <c r="D31" s="14" t="s">
        <v>28</v>
      </c>
      <c r="E31" s="12">
        <v>400</v>
      </c>
      <c r="F31" s="12">
        <v>80</v>
      </c>
      <c r="G31" s="12">
        <v>0</v>
      </c>
      <c r="H31" s="12">
        <v>320</v>
      </c>
      <c r="I31" s="44">
        <v>525401</v>
      </c>
      <c r="J31" s="27">
        <f t="shared" si="1"/>
        <v>16</v>
      </c>
      <c r="K31" s="27">
        <f t="shared" si="0"/>
        <v>304</v>
      </c>
    </row>
    <row r="32" spans="1:14" x14ac:dyDescent="0.25">
      <c r="A32" s="25">
        <v>41369</v>
      </c>
      <c r="B32" s="13" t="s">
        <v>77</v>
      </c>
      <c r="C32" s="28" t="s">
        <v>78</v>
      </c>
      <c r="D32" s="14" t="s">
        <v>28</v>
      </c>
      <c r="E32" s="12">
        <v>828</v>
      </c>
      <c r="F32" s="12">
        <v>165.6</v>
      </c>
      <c r="G32" s="12">
        <v>0</v>
      </c>
      <c r="H32" s="12">
        <v>662.4</v>
      </c>
      <c r="I32" s="44">
        <v>525402</v>
      </c>
      <c r="J32" s="27">
        <f t="shared" si="1"/>
        <v>33.119999999999997</v>
      </c>
      <c r="K32" s="27">
        <f t="shared" si="0"/>
        <v>629.28</v>
      </c>
      <c r="N32" s="15"/>
    </row>
    <row r="33" spans="1:13" x14ac:dyDescent="0.25">
      <c r="A33" s="51"/>
      <c r="B33" s="51"/>
      <c r="C33" s="51"/>
      <c r="D33" s="51"/>
      <c r="E33" s="29">
        <f>SUM(E8:E32)</f>
        <v>8351.23</v>
      </c>
      <c r="F33" s="29">
        <f>SUM(F8:F32)</f>
        <v>1620.8500000000001</v>
      </c>
      <c r="G33" s="29">
        <f>SUM(G8:G32)</f>
        <v>11.68</v>
      </c>
      <c r="H33" s="29">
        <f>SUM(H8:H32)</f>
        <v>6742.06</v>
      </c>
      <c r="I33" s="29"/>
      <c r="J33" s="29">
        <f>SUM(J8:J28)</f>
        <v>276.54299999999995</v>
      </c>
      <c r="K33" s="29">
        <f>SUM(K8:K32)</f>
        <v>6406.8769999999995</v>
      </c>
      <c r="M33" s="15"/>
    </row>
    <row r="34" spans="1:13" x14ac:dyDescent="0.25">
      <c r="A34" s="31"/>
      <c r="B34" s="32"/>
      <c r="C34" s="32"/>
      <c r="D34" s="33"/>
      <c r="E34" s="34"/>
      <c r="F34" s="35"/>
      <c r="G34" s="35"/>
      <c r="H34" s="36"/>
      <c r="I34" s="30"/>
      <c r="J34" s="37"/>
      <c r="K34" s="38"/>
    </row>
    <row r="35" spans="1:13" x14ac:dyDescent="0.25">
      <c r="A35" s="1"/>
      <c r="B35" s="41"/>
      <c r="C35" s="1"/>
      <c r="D35" s="1"/>
      <c r="E35" s="6"/>
      <c r="F35" s="4"/>
      <c r="G35" s="4"/>
      <c r="H35" s="7"/>
      <c r="I35" s="7"/>
      <c r="J35" s="11"/>
      <c r="K35" s="3"/>
    </row>
    <row r="36" spans="1:13" x14ac:dyDescent="0.25">
      <c r="A36" s="2"/>
      <c r="B36" s="52" t="s">
        <v>13</v>
      </c>
      <c r="C36" s="53"/>
      <c r="D36" s="54"/>
      <c r="E36" s="55" t="s">
        <v>14</v>
      </c>
      <c r="F36" s="55"/>
      <c r="G36" s="55"/>
      <c r="H36" s="55"/>
      <c r="I36" s="55"/>
      <c r="J36" s="56"/>
      <c r="K36" s="5"/>
    </row>
    <row r="37" spans="1:13" x14ac:dyDescent="0.25">
      <c r="A37" s="2"/>
      <c r="B37" s="57"/>
      <c r="C37" s="58"/>
      <c r="D37" s="59"/>
      <c r="E37" s="63"/>
      <c r="F37" s="64"/>
      <c r="G37" s="64"/>
      <c r="H37" s="64"/>
      <c r="I37" s="64"/>
      <c r="J37" s="65"/>
      <c r="K37" s="5"/>
    </row>
    <row r="38" spans="1:13" x14ac:dyDescent="0.25">
      <c r="A38" s="1"/>
      <c r="B38" s="60"/>
      <c r="C38" s="61"/>
      <c r="D38" s="62"/>
      <c r="E38" s="66"/>
      <c r="F38" s="67"/>
      <c r="G38" s="67"/>
      <c r="H38" s="67"/>
      <c r="I38" s="67"/>
      <c r="J38" s="68"/>
      <c r="K38" s="1"/>
    </row>
    <row r="39" spans="1:13" x14ac:dyDescent="0.25">
      <c r="A39" s="1"/>
      <c r="B39" s="45" t="s">
        <v>15</v>
      </c>
      <c r="C39" s="46"/>
      <c r="D39" s="47"/>
      <c r="E39" s="48" t="s">
        <v>16</v>
      </c>
      <c r="F39" s="49"/>
      <c r="G39" s="49"/>
      <c r="H39" s="49"/>
      <c r="I39" s="49"/>
      <c r="J39" s="50"/>
      <c r="K39" s="1"/>
    </row>
    <row r="40" spans="1:13" x14ac:dyDescent="0.25">
      <c r="M40" s="15"/>
    </row>
  </sheetData>
  <sortState ref="D8:K32">
    <sortCondition ref="D8"/>
  </sortState>
  <mergeCells count="13">
    <mergeCell ref="A6:K6"/>
    <mergeCell ref="A1:K1"/>
    <mergeCell ref="A2:K2"/>
    <mergeCell ref="A3:K3"/>
    <mergeCell ref="A4:K4"/>
    <mergeCell ref="A5:K5"/>
    <mergeCell ref="B39:D39"/>
    <mergeCell ref="E39:J39"/>
    <mergeCell ref="A33:D33"/>
    <mergeCell ref="B36:D36"/>
    <mergeCell ref="E36:J36"/>
    <mergeCell ref="B37:D38"/>
    <mergeCell ref="E37:J38"/>
  </mergeCells>
  <printOptions horizont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K18"/>
  <sheetViews>
    <sheetView topLeftCell="A5" workbookViewId="0">
      <selection activeCell="L13" sqref="L13:L14"/>
    </sheetView>
  </sheetViews>
  <sheetFormatPr baseColWidth="10" defaultRowHeight="15" x14ac:dyDescent="0.25"/>
  <cols>
    <col min="1" max="1" width="6.140625" customWidth="1"/>
    <col min="2" max="2" width="7.5703125" customWidth="1"/>
    <col min="3" max="3" width="6.85546875" customWidth="1"/>
    <col min="4" max="4" width="17.28515625" customWidth="1"/>
    <col min="5" max="5" width="6.7109375" customWidth="1"/>
    <col min="6" max="6" width="6.85546875" customWidth="1"/>
    <col min="7" max="7" width="5.28515625" customWidth="1"/>
    <col min="8" max="8" width="7.7109375" customWidth="1"/>
    <col min="9" max="9" width="6.28515625" customWidth="1"/>
    <col min="10" max="10" width="6" customWidth="1"/>
    <col min="11" max="11" width="7.28515625" customWidth="1"/>
  </cols>
  <sheetData>
    <row r="2" spans="1:11" ht="15.75" x14ac:dyDescent="0.3">
      <c r="A2" s="70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x14ac:dyDescent="0.25">
      <c r="A3" s="71" t="s">
        <v>1</v>
      </c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x14ac:dyDescent="0.25">
      <c r="A4" s="72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x14ac:dyDescent="0.25">
      <c r="A5" s="73" t="s">
        <v>3</v>
      </c>
      <c r="B5" s="73"/>
      <c r="C5" s="73"/>
      <c r="D5" s="73"/>
      <c r="E5" s="73"/>
      <c r="F5" s="73"/>
      <c r="G5" s="73"/>
      <c r="H5" s="73"/>
      <c r="I5" s="73"/>
      <c r="J5" s="73"/>
      <c r="K5" s="73"/>
    </row>
    <row r="6" spans="1:11" x14ac:dyDescent="0.25">
      <c r="A6" s="74" t="s">
        <v>17</v>
      </c>
      <c r="B6" s="74"/>
      <c r="C6" s="74"/>
      <c r="D6" s="74"/>
      <c r="E6" s="74"/>
      <c r="F6" s="74"/>
      <c r="G6" s="74"/>
      <c r="H6" s="74"/>
      <c r="I6" s="74"/>
      <c r="J6" s="74"/>
      <c r="K6" s="74"/>
    </row>
    <row r="7" spans="1:11" x14ac:dyDescent="0.25">
      <c r="A7" s="69" t="s">
        <v>20</v>
      </c>
      <c r="B7" s="69"/>
      <c r="C7" s="69"/>
      <c r="D7" s="69"/>
      <c r="E7" s="69"/>
      <c r="F7" s="69"/>
      <c r="G7" s="69"/>
      <c r="H7" s="69"/>
      <c r="I7" s="69"/>
      <c r="J7" s="69"/>
      <c r="K7" s="69"/>
    </row>
    <row r="8" spans="1:11" x14ac:dyDescent="0.25">
      <c r="A8" s="9" t="s">
        <v>4</v>
      </c>
      <c r="B8" s="8" t="s">
        <v>5</v>
      </c>
      <c r="C8" s="8" t="s">
        <v>6</v>
      </c>
      <c r="D8" s="23" t="s">
        <v>18</v>
      </c>
      <c r="E8" s="23" t="s">
        <v>8</v>
      </c>
      <c r="F8" s="10" t="s">
        <v>9</v>
      </c>
      <c r="G8" s="10" t="s">
        <v>11</v>
      </c>
      <c r="H8" s="24" t="s">
        <v>19</v>
      </c>
      <c r="I8" s="23" t="s">
        <v>7</v>
      </c>
      <c r="J8" s="22" t="s">
        <v>10</v>
      </c>
      <c r="K8" s="10" t="s">
        <v>12</v>
      </c>
    </row>
    <row r="9" spans="1:11" x14ac:dyDescent="0.25">
      <c r="A9" s="25"/>
      <c r="B9" s="26"/>
      <c r="C9" s="13"/>
      <c r="D9" s="14"/>
      <c r="E9" s="12"/>
      <c r="F9" s="12"/>
      <c r="G9" s="12"/>
      <c r="H9" s="12"/>
      <c r="I9" s="19"/>
      <c r="J9" s="27">
        <f>H9*5%</f>
        <v>0</v>
      </c>
      <c r="K9" s="27">
        <f>H9-J9</f>
        <v>0</v>
      </c>
    </row>
    <row r="10" spans="1:11" x14ac:dyDescent="0.25">
      <c r="A10" s="25"/>
      <c r="B10" s="26"/>
      <c r="C10" s="13"/>
      <c r="D10" s="14"/>
      <c r="E10" s="12"/>
      <c r="F10" s="12"/>
      <c r="G10" s="12"/>
      <c r="H10" s="12"/>
      <c r="I10" s="19"/>
      <c r="J10" s="27">
        <f t="shared" ref="J10:J11" si="0">H10*5%</f>
        <v>0</v>
      </c>
      <c r="K10" s="27">
        <f t="shared" ref="K10:K11" si="1">H10-J10</f>
        <v>0</v>
      </c>
    </row>
    <row r="11" spans="1:11" x14ac:dyDescent="0.25">
      <c r="A11" s="25"/>
      <c r="B11" s="26"/>
      <c r="C11" s="13"/>
      <c r="D11" s="14"/>
      <c r="E11" s="12"/>
      <c r="F11" s="12"/>
      <c r="G11" s="12"/>
      <c r="H11" s="12"/>
      <c r="I11" s="19"/>
      <c r="J11" s="27">
        <f t="shared" si="0"/>
        <v>0</v>
      </c>
      <c r="K11" s="27">
        <f t="shared" si="1"/>
        <v>0</v>
      </c>
    </row>
    <row r="12" spans="1:11" x14ac:dyDescent="0.25">
      <c r="E12" s="39">
        <f t="shared" ref="E12:H12" si="2">SUM(E9:E11)</f>
        <v>0</v>
      </c>
      <c r="F12" s="39">
        <f t="shared" si="2"/>
        <v>0</v>
      </c>
      <c r="G12" s="39">
        <f t="shared" si="2"/>
        <v>0</v>
      </c>
      <c r="H12" s="39">
        <f t="shared" si="2"/>
        <v>0</v>
      </c>
      <c r="I12" s="39"/>
      <c r="J12" s="39">
        <f>SUM(J9:J11)</f>
        <v>0</v>
      </c>
      <c r="K12" s="39">
        <f>SUM(K9:K11)</f>
        <v>0</v>
      </c>
    </row>
    <row r="15" spans="1:11" x14ac:dyDescent="0.25">
      <c r="B15" s="52" t="s">
        <v>13</v>
      </c>
      <c r="C15" s="53"/>
      <c r="D15" s="54"/>
      <c r="E15" s="55" t="s">
        <v>14</v>
      </c>
      <c r="F15" s="55"/>
      <c r="G15" s="55"/>
      <c r="H15" s="55"/>
      <c r="I15" s="55"/>
      <c r="J15" s="56"/>
    </row>
    <row r="16" spans="1:11" x14ac:dyDescent="0.25">
      <c r="B16" s="57"/>
      <c r="C16" s="58"/>
      <c r="D16" s="59"/>
      <c r="E16" s="63"/>
      <c r="F16" s="64"/>
      <c r="G16" s="64"/>
      <c r="H16" s="64"/>
      <c r="I16" s="64"/>
      <c r="J16" s="65"/>
    </row>
    <row r="17" spans="2:10" x14ac:dyDescent="0.25">
      <c r="B17" s="60"/>
      <c r="C17" s="61"/>
      <c r="D17" s="62"/>
      <c r="E17" s="66"/>
      <c r="F17" s="67"/>
      <c r="G17" s="67"/>
      <c r="H17" s="67"/>
      <c r="I17" s="67"/>
      <c r="J17" s="68"/>
    </row>
    <row r="18" spans="2:10" x14ac:dyDescent="0.25">
      <c r="B18" s="45" t="s">
        <v>15</v>
      </c>
      <c r="C18" s="46"/>
      <c r="D18" s="47"/>
      <c r="E18" s="48" t="s">
        <v>16</v>
      </c>
      <c r="F18" s="49"/>
      <c r="G18" s="49"/>
      <c r="H18" s="49"/>
      <c r="I18" s="49"/>
      <c r="J18" s="50"/>
    </row>
  </sheetData>
  <mergeCells count="12">
    <mergeCell ref="B15:D15"/>
    <mergeCell ref="E15:J15"/>
    <mergeCell ref="B16:D17"/>
    <mergeCell ref="E16:J17"/>
    <mergeCell ref="B18:D18"/>
    <mergeCell ref="E18:J18"/>
    <mergeCell ref="A7:K7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</vt:lpstr>
      <vt:lpstr>EMPLEADOS CAPPO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2013-03-10T14:55:01Z</cp:lastPrinted>
  <dcterms:created xsi:type="dcterms:W3CDTF">2011-11-14T15:12:23Z</dcterms:created>
  <dcterms:modified xsi:type="dcterms:W3CDTF">2013-04-11T17:55:44Z</dcterms:modified>
</cp:coreProperties>
</file>