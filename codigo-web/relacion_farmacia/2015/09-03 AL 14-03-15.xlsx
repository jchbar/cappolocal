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5" windowWidth="12120" windowHeight="8130"/>
  </bookViews>
  <sheets>
    <sheet name="CAPPO CORREO" sheetId="1" r:id="rId1"/>
    <sheet name="CAPPOEMPLADOS" sheetId="4" r:id="rId2"/>
  </sheets>
  <calcPr calcId="152511"/>
</workbook>
</file>

<file path=xl/calcChain.xml><?xml version="1.0" encoding="utf-8"?>
<calcChain xmlns="http://schemas.openxmlformats.org/spreadsheetml/2006/main">
  <c r="H52" i="1" l="1"/>
  <c r="G52" i="1"/>
  <c r="F52" i="1"/>
  <c r="E52" i="1"/>
  <c r="K37" i="1" l="1"/>
  <c r="K32" i="1"/>
  <c r="K31" i="1"/>
  <c r="K30" i="1"/>
  <c r="K47" i="1"/>
  <c r="K48" i="1"/>
  <c r="K28" i="1"/>
  <c r="K45" i="1"/>
  <c r="K27" i="1"/>
  <c r="K35" i="1"/>
  <c r="K29" i="1"/>
  <c r="K12" i="1"/>
  <c r="K16" i="1"/>
  <c r="K41" i="1"/>
  <c r="K15" i="1"/>
  <c r="K36" i="1" l="1"/>
  <c r="K49" i="1"/>
  <c r="K50" i="1"/>
  <c r="K44" i="1"/>
  <c r="K8" i="1"/>
  <c r="K46" i="1"/>
  <c r="K43" i="1" l="1"/>
  <c r="K42" i="1"/>
  <c r="K40" i="1"/>
  <c r="K14" i="1"/>
  <c r="K33" i="1"/>
  <c r="K38" i="1"/>
  <c r="K10" i="1"/>
  <c r="K39" i="1"/>
  <c r="K26" i="1"/>
  <c r="K25" i="1"/>
  <c r="K34" i="1"/>
  <c r="K19" i="1"/>
  <c r="K18" i="1"/>
  <c r="J52" i="1" l="1"/>
  <c r="K17" i="1" l="1"/>
  <c r="K51" i="1"/>
  <c r="K22" i="1"/>
  <c r="K21" i="1"/>
  <c r="K13" i="1"/>
  <c r="K20" i="1"/>
  <c r="K11" i="1"/>
  <c r="K24" i="1"/>
  <c r="K23" i="1"/>
  <c r="K9" i="1"/>
  <c r="K52" i="1" l="1"/>
  <c r="H53" i="1" s="1"/>
  <c r="G10" i="4"/>
  <c r="F10" i="4"/>
  <c r="E10" i="4"/>
  <c r="K9" i="4"/>
  <c r="I9" i="4"/>
  <c r="J9" i="4" s="1"/>
  <c r="K10" i="4" l="1"/>
  <c r="H12" i="4" s="1"/>
  <c r="J10" i="4"/>
  <c r="I10" i="4"/>
</calcChain>
</file>

<file path=xl/sharedStrings.xml><?xml version="1.0" encoding="utf-8"?>
<sst xmlns="http://schemas.openxmlformats.org/spreadsheetml/2006/main" count="176" uniqueCount="133">
  <si>
    <t xml:space="preserve">FARMACIA UNIVERSIDAD </t>
  </si>
  <si>
    <t>C A P P O - U C L A</t>
  </si>
  <si>
    <t>Carrera 21 entre Calles 12 y 13 Nro 12-13 telef. 0251-2524973/2527081</t>
  </si>
  <si>
    <t>Relación de Cobranza</t>
  </si>
  <si>
    <t>Fecha</t>
  </si>
  <si>
    <t>Cédula</t>
  </si>
  <si>
    <t>Cod. Socio</t>
  </si>
  <si>
    <t>Factura</t>
  </si>
  <si>
    <t>Monto</t>
  </si>
  <si>
    <t>Dcto. Cap.</t>
  </si>
  <si>
    <t>IVA</t>
  </si>
  <si>
    <t>Neto</t>
  </si>
  <si>
    <t>Elaborado Por:</t>
  </si>
  <si>
    <t xml:space="preserve">Recibido: (Firma y Sello) </t>
  </si>
  <si>
    <t>Yuris Reyes</t>
  </si>
  <si>
    <t>CAPPO-UCLA</t>
  </si>
  <si>
    <t xml:space="preserve"> CAPPO - UCLA</t>
  </si>
  <si>
    <t>Cliente</t>
  </si>
  <si>
    <t>Total Factura</t>
  </si>
  <si>
    <t>MONTO CAPPO</t>
  </si>
  <si>
    <t>TOTAL A COBRAR BS…..</t>
  </si>
  <si>
    <t>Desde  24/02/14 Hasta:  28/02/14</t>
  </si>
  <si>
    <t>VELIZ ORDALYS</t>
  </si>
  <si>
    <t>Dcto. Clte.</t>
  </si>
  <si>
    <t>CORRALES CLARISA</t>
  </si>
  <si>
    <t>Desde  09/03/15 Hasta:  14/03/15</t>
  </si>
  <si>
    <t>ALVARADO  OTTO</t>
  </si>
  <si>
    <t>GIL  PABLO</t>
  </si>
  <si>
    <t>ARRIETA BERTIZ DEIVY</t>
  </si>
  <si>
    <t>CASTILLO  JOSE</t>
  </si>
  <si>
    <t>CRESPO  PEDRO</t>
  </si>
  <si>
    <t>DURAN JESUS</t>
  </si>
  <si>
    <t>COLMENAREZ DEIBIS</t>
  </si>
  <si>
    <t>LOPEZ ANA</t>
  </si>
  <si>
    <t>GIMENEZ  JUAN</t>
  </si>
  <si>
    <t>OSTA MARIA</t>
  </si>
  <si>
    <t>APOSTOL R. CARLOS</t>
  </si>
  <si>
    <t>ORELLANA B. WILLIAM</t>
  </si>
  <si>
    <t>LISCANO  JAIME</t>
  </si>
  <si>
    <t>CASTILLO NELIDA</t>
  </si>
  <si>
    <t>PERNALETE ORQUIDIA</t>
  </si>
  <si>
    <t>PIÑA  DAISY</t>
  </si>
  <si>
    <t>ABARCA LUCENA ERICK</t>
  </si>
  <si>
    <t>PIÑA RAFAEL</t>
  </si>
  <si>
    <t>VASQUEZ RAMON</t>
  </si>
  <si>
    <t>SUAREZ  NAURO</t>
  </si>
  <si>
    <t>MAVARE PEREZ LISBETH</t>
  </si>
  <si>
    <t>CHIRINOS CARLOS GREG</t>
  </si>
  <si>
    <t>PEROZO GREGORIO</t>
  </si>
  <si>
    <t>COLMENAREZ  LUIS</t>
  </si>
  <si>
    <t>CASTELLANOS VICENTE</t>
  </si>
  <si>
    <t>JIMENEZ EDGAR SOLANO</t>
  </si>
  <si>
    <t>GONZALEZ JORGE</t>
  </si>
  <si>
    <t>HERNANDEZ  CARLOS</t>
  </si>
  <si>
    <t>SANCHEZ PEROZO NYREE</t>
  </si>
  <si>
    <t>SANCHEZ PADILLA ELSA</t>
  </si>
  <si>
    <t>LINAREZ ADARFIO CARM</t>
  </si>
  <si>
    <t>MENDOZA  JORGE</t>
  </si>
  <si>
    <t>7325722</t>
  </si>
  <si>
    <t>0128</t>
  </si>
  <si>
    <t>10849906</t>
  </si>
  <si>
    <t>0151</t>
  </si>
  <si>
    <t>12242270</t>
  </si>
  <si>
    <t>2612</t>
  </si>
  <si>
    <t>12314254</t>
  </si>
  <si>
    <t>0304</t>
  </si>
  <si>
    <t>9626215</t>
  </si>
  <si>
    <t>00374</t>
  </si>
  <si>
    <t>11695394</t>
  </si>
  <si>
    <t>00360</t>
  </si>
  <si>
    <t>7446644</t>
  </si>
  <si>
    <t>0366</t>
  </si>
  <si>
    <t>14372299</t>
  </si>
  <si>
    <t>0193</t>
  </si>
  <si>
    <t>7445661</t>
  </si>
  <si>
    <t>00386</t>
  </si>
  <si>
    <t>11783366</t>
  </si>
  <si>
    <t>01372</t>
  </si>
  <si>
    <t>9609337</t>
  </si>
  <si>
    <t>0343</t>
  </si>
  <si>
    <t>4723168</t>
  </si>
  <si>
    <t>0335</t>
  </si>
  <si>
    <t>11594236</t>
  </si>
  <si>
    <t>0512</t>
  </si>
  <si>
    <t>3857667</t>
  </si>
  <si>
    <t>00814</t>
  </si>
  <si>
    <t>14093727</t>
  </si>
  <si>
    <t>00946</t>
  </si>
  <si>
    <t>9547148</t>
  </si>
  <si>
    <t>0850</t>
  </si>
  <si>
    <t>7415285</t>
  </si>
  <si>
    <t>00908</t>
  </si>
  <si>
    <t>4731494</t>
  </si>
  <si>
    <t>1104</t>
  </si>
  <si>
    <t>14372818</t>
  </si>
  <si>
    <t>1343</t>
  </si>
  <si>
    <t>7338055</t>
  </si>
  <si>
    <t>1317</t>
  </si>
  <si>
    <t>7401853</t>
  </si>
  <si>
    <t>1337</t>
  </si>
  <si>
    <t>13268457</t>
  </si>
  <si>
    <t>1530</t>
  </si>
  <si>
    <t>5257774</t>
  </si>
  <si>
    <t>1465</t>
  </si>
  <si>
    <t>7419340</t>
  </si>
  <si>
    <t>1617</t>
  </si>
  <si>
    <t>3314884</t>
  </si>
  <si>
    <t>1600</t>
  </si>
  <si>
    <t>7455429</t>
  </si>
  <si>
    <t>01706</t>
  </si>
  <si>
    <t>7387544</t>
  </si>
  <si>
    <t>1758</t>
  </si>
  <si>
    <t>12698965</t>
  </si>
  <si>
    <t>01777</t>
  </si>
  <si>
    <t>846940</t>
  </si>
  <si>
    <t>01719</t>
  </si>
  <si>
    <t>7436077</t>
  </si>
  <si>
    <t>14293690</t>
  </si>
  <si>
    <t>13644555</t>
  </si>
  <si>
    <t>02090</t>
  </si>
  <si>
    <t>10778464</t>
  </si>
  <si>
    <t>02081</t>
  </si>
  <si>
    <t>7322780</t>
  </si>
  <si>
    <t>02057</t>
  </si>
  <si>
    <t>9542237</t>
  </si>
  <si>
    <t>2333</t>
  </si>
  <si>
    <t>13084886</t>
  </si>
  <si>
    <t>1627</t>
  </si>
  <si>
    <t>RODRIGUEZ  C   EVELIO</t>
  </si>
  <si>
    <t>SANCHEZ MARCHAN GLENDA</t>
  </si>
  <si>
    <t>01954</t>
  </si>
  <si>
    <t>2095</t>
  </si>
  <si>
    <t>KEILA COLMENAREZ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</si>
</sst>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;[Red]#,##0.00"/>
    <numFmt numFmtId="165" formatCode="#,##0;[Red]#,##0"/>
    <numFmt numFmtId="166" formatCode="_([$€-2]\ * #,##0.00_);_([$€-2]\ * \(#,##0.00\);_([$€-2]\ * &quot;-&quot;??_)"/>
    <numFmt numFmtId="167" formatCode="dd/mm/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i/>
      <sz val="9"/>
      <name val="Arial"/>
      <family val="2"/>
    </font>
    <font>
      <sz val="10"/>
      <color indexed="18"/>
      <name val="Arial Black"/>
      <family val="2"/>
    </font>
    <font>
      <sz val="9"/>
      <color indexed="18"/>
      <name val="Arial Narrow"/>
      <family val="2"/>
    </font>
    <font>
      <b/>
      <sz val="9"/>
      <color indexed="18"/>
      <name val="Copperplate Gothic Light"/>
      <family val="2"/>
    </font>
    <font>
      <sz val="9"/>
      <color theme="1"/>
      <name val="Agency FB"/>
      <family val="2"/>
    </font>
    <font>
      <sz val="9"/>
      <name val="Agency FB"/>
      <family val="2"/>
    </font>
    <font>
      <b/>
      <sz val="9"/>
      <name val="Agency FB"/>
      <family val="2"/>
    </font>
    <font>
      <b/>
      <sz val="8"/>
      <name val="Arial Narrow"/>
      <family val="2"/>
    </font>
    <font>
      <b/>
      <sz val="9"/>
      <color theme="1"/>
      <name val="Arial Narrow"/>
      <family val="2"/>
    </font>
    <font>
      <sz val="10"/>
      <name val="Agency FB"/>
      <family val="2"/>
    </font>
    <font>
      <sz val="8"/>
      <name val="Agency FB"/>
      <family val="2"/>
    </font>
    <font>
      <b/>
      <sz val="12"/>
      <name val="Arial Narrow"/>
      <family val="2"/>
    </font>
    <font>
      <b/>
      <sz val="16"/>
      <name val="Arial Narrow"/>
      <family val="2"/>
    </font>
    <font>
      <b/>
      <sz val="9"/>
      <color theme="1"/>
      <name val="Agency FB"/>
      <family val="2"/>
    </font>
    <font>
      <b/>
      <sz val="2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6" fontId="2" fillId="0" borderId="0" applyFont="0" applyFill="0" applyBorder="0" applyAlignment="0" applyProtection="0"/>
  </cellStyleXfs>
  <cellXfs count="82">
    <xf numFmtId="0" fontId="0" fillId="0" borderId="0" xfId="0"/>
    <xf numFmtId="0" fontId="1" fillId="0" borderId="0" xfId="1"/>
    <xf numFmtId="0" fontId="3" fillId="0" borderId="0" xfId="1" applyFont="1" applyAlignment="1"/>
    <xf numFmtId="164" fontId="6" fillId="0" borderId="0" xfId="1" applyNumberFormat="1" applyFont="1" applyBorder="1"/>
    <xf numFmtId="164" fontId="3" fillId="0" borderId="0" xfId="1" applyNumberFormat="1" applyFont="1" applyAlignment="1">
      <alignment horizontal="right"/>
    </xf>
    <xf numFmtId="164" fontId="6" fillId="0" borderId="0" xfId="1" applyNumberFormat="1" applyFont="1" applyAlignment="1">
      <alignment horizontal="center"/>
    </xf>
    <xf numFmtId="164" fontId="6" fillId="0" borderId="0" xfId="1" applyNumberFormat="1" applyFont="1" applyFill="1" applyBorder="1" applyAlignment="1">
      <alignment horizontal="right"/>
    </xf>
    <xf numFmtId="165" fontId="6" fillId="0" borderId="7" xfId="1" applyNumberFormat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164" fontId="6" fillId="0" borderId="7" xfId="1" applyNumberFormat="1" applyFont="1" applyBorder="1" applyAlignment="1">
      <alignment horizontal="center"/>
    </xf>
    <xf numFmtId="164" fontId="6" fillId="0" borderId="0" xfId="1" applyNumberFormat="1" applyFont="1" applyBorder="1" applyAlignment="1">
      <alignment horizontal="right"/>
    </xf>
    <xf numFmtId="164" fontId="11" fillId="0" borderId="7" xfId="0" applyNumberFormat="1" applyFont="1" applyBorder="1"/>
    <xf numFmtId="49" fontId="12" fillId="0" borderId="7" xfId="1" applyNumberFormat="1" applyFont="1" applyBorder="1" applyAlignment="1">
      <alignment horizontal="center"/>
    </xf>
    <xf numFmtId="0" fontId="11" fillId="0" borderId="7" xfId="0" applyFont="1" applyBorder="1"/>
    <xf numFmtId="0" fontId="8" fillId="0" borderId="0" xfId="1" applyFont="1" applyBorder="1" applyAlignment="1"/>
    <xf numFmtId="0" fontId="10" fillId="0" borderId="0" xfId="1" applyFont="1" applyAlignment="1"/>
    <xf numFmtId="0" fontId="9" fillId="0" borderId="0" xfId="1" applyFont="1" applyAlignment="1"/>
    <xf numFmtId="49" fontId="11" fillId="0" borderId="7" xfId="0" applyNumberFormat="1" applyFont="1" applyBorder="1" applyAlignment="1">
      <alignment horizontal="center"/>
    </xf>
    <xf numFmtId="0" fontId="7" fillId="0" borderId="0" xfId="1" applyFont="1" applyAlignment="1"/>
    <xf numFmtId="49" fontId="7" fillId="0" borderId="0" xfId="1" applyNumberFormat="1" applyFont="1" applyAlignment="1"/>
    <xf numFmtId="164" fontId="14" fillId="0" borderId="7" xfId="1" applyNumberFormat="1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164" fontId="6" fillId="0" borderId="1" xfId="1" applyNumberFormat="1" applyFont="1" applyFill="1" applyBorder="1" applyAlignment="1"/>
    <xf numFmtId="167" fontId="12" fillId="0" borderId="7" xfId="1" applyNumberFormat="1" applyFont="1" applyBorder="1" applyAlignment="1">
      <alignment horizontal="center"/>
    </xf>
    <xf numFmtId="164" fontId="12" fillId="0" borderId="7" xfId="1" applyNumberFormat="1" applyFont="1" applyBorder="1" applyAlignment="1">
      <alignment horizontal="center"/>
    </xf>
    <xf numFmtId="164" fontId="13" fillId="0" borderId="0" xfId="1" applyNumberFormat="1" applyFont="1" applyBorder="1" applyAlignment="1">
      <alignment horizontal="center"/>
    </xf>
    <xf numFmtId="49" fontId="13" fillId="0" borderId="0" xfId="1" applyNumberFormat="1" applyFont="1" applyFill="1" applyBorder="1" applyAlignment="1">
      <alignment horizontal="center"/>
    </xf>
    <xf numFmtId="167" fontId="16" fillId="0" borderId="0" xfId="1" applyNumberFormat="1" applyFont="1" applyBorder="1"/>
    <xf numFmtId="49" fontId="16" fillId="0" borderId="0" xfId="1" applyNumberFormat="1" applyFont="1" applyBorder="1"/>
    <xf numFmtId="0" fontId="16" fillId="0" borderId="0" xfId="1" applyFont="1" applyBorder="1"/>
    <xf numFmtId="2" fontId="13" fillId="0" borderId="0" xfId="1" applyNumberFormat="1" applyFont="1" applyBorder="1" applyAlignment="1">
      <alignment horizontal="center"/>
    </xf>
    <xf numFmtId="2" fontId="13" fillId="0" borderId="0" xfId="1" applyNumberFormat="1" applyFont="1" applyBorder="1"/>
    <xf numFmtId="2" fontId="13" fillId="0" borderId="0" xfId="1" applyNumberFormat="1" applyFont="1" applyFill="1" applyBorder="1" applyAlignment="1">
      <alignment horizontal="right"/>
    </xf>
    <xf numFmtId="164" fontId="17" fillId="0" borderId="0" xfId="1" applyNumberFormat="1" applyFont="1" applyBorder="1" applyAlignment="1">
      <alignment horizontal="center"/>
    </xf>
    <xf numFmtId="164" fontId="12" fillId="0" borderId="0" xfId="1" applyNumberFormat="1" applyFont="1" applyBorder="1" applyAlignment="1">
      <alignment horizontal="center"/>
    </xf>
    <xf numFmtId="49" fontId="6" fillId="0" borderId="7" xfId="1" applyNumberFormat="1" applyFont="1" applyBorder="1" applyAlignment="1">
      <alignment horizontal="center"/>
    </xf>
    <xf numFmtId="49" fontId="1" fillId="0" borderId="0" xfId="1" applyNumberFormat="1"/>
    <xf numFmtId="49" fontId="0" fillId="0" borderId="0" xfId="0" applyNumberFormat="1"/>
    <xf numFmtId="165" fontId="6" fillId="0" borderId="0" xfId="1" applyNumberFormat="1" applyFont="1" applyBorder="1" applyAlignment="1">
      <alignment horizontal="center"/>
    </xf>
    <xf numFmtId="165" fontId="3" fillId="0" borderId="0" xfId="1" applyNumberFormat="1" applyFont="1" applyBorder="1" applyAlignment="1">
      <alignment horizontal="center"/>
    </xf>
    <xf numFmtId="165" fontId="5" fillId="0" borderId="0" xfId="1" applyNumberFormat="1" applyFont="1" applyBorder="1" applyAlignment="1">
      <alignment horizontal="center"/>
    </xf>
    <xf numFmtId="164" fontId="18" fillId="0" borderId="0" xfId="1" applyNumberFormat="1" applyFont="1" applyAlignment="1">
      <alignment horizontal="right"/>
    </xf>
    <xf numFmtId="164" fontId="19" fillId="0" borderId="0" xfId="1" applyNumberFormat="1" applyFont="1" applyAlignment="1">
      <alignment horizontal="center"/>
    </xf>
    <xf numFmtId="164" fontId="20" fillId="0" borderId="0" xfId="0" applyNumberFormat="1" applyFont="1"/>
    <xf numFmtId="0" fontId="20" fillId="0" borderId="0" xfId="0" applyFont="1"/>
    <xf numFmtId="0" fontId="11" fillId="2" borderId="7" xfId="0" applyFont="1" applyFill="1" applyBorder="1"/>
    <xf numFmtId="164" fontId="11" fillId="2" borderId="7" xfId="0" applyNumberFormat="1" applyFont="1" applyFill="1" applyBorder="1"/>
    <xf numFmtId="49" fontId="11" fillId="2" borderId="7" xfId="0" applyNumberFormat="1" applyFont="1" applyFill="1" applyBorder="1" applyAlignment="1">
      <alignment horizontal="center"/>
    </xf>
    <xf numFmtId="164" fontId="12" fillId="2" borderId="7" xfId="1" applyNumberFormat="1" applyFont="1" applyFill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49" fontId="7" fillId="0" borderId="0" xfId="1" applyNumberFormat="1" applyFont="1" applyAlignment="1">
      <alignment horizontal="center"/>
    </xf>
    <xf numFmtId="164" fontId="21" fillId="0" borderId="0" xfId="1" applyNumberFormat="1" applyFont="1" applyAlignment="1">
      <alignment horizontal="center" vertical="center"/>
    </xf>
    <xf numFmtId="0" fontId="5" fillId="0" borderId="1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5" fontId="5" fillId="0" borderId="9" xfId="1" applyNumberFormat="1" applyFont="1" applyBorder="1" applyAlignment="1">
      <alignment horizontal="center"/>
    </xf>
    <xf numFmtId="165" fontId="5" fillId="0" borderId="2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165" fontId="6" fillId="0" borderId="1" xfId="1" applyNumberFormat="1" applyFont="1" applyBorder="1" applyAlignment="1">
      <alignment horizontal="center"/>
    </xf>
    <xf numFmtId="165" fontId="6" fillId="0" borderId="9" xfId="1" applyNumberFormat="1" applyFont="1" applyBorder="1" applyAlignment="1">
      <alignment horizontal="center"/>
    </xf>
    <xf numFmtId="165" fontId="6" fillId="0" borderId="2" xfId="1" applyNumberFormat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165" fontId="3" fillId="0" borderId="5" xfId="1" applyNumberFormat="1" applyFont="1" applyBorder="1" applyAlignment="1">
      <alignment horizontal="center"/>
    </xf>
    <xf numFmtId="165" fontId="3" fillId="0" borderId="10" xfId="1" applyNumberFormat="1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65" fontId="3" fillId="0" borderId="3" xfId="1" applyNumberFormat="1" applyFont="1" applyBorder="1" applyAlignment="1">
      <alignment horizontal="center"/>
    </xf>
    <xf numFmtId="165" fontId="3" fillId="0" borderId="8" xfId="1" applyNumberFormat="1" applyFont="1" applyBorder="1" applyAlignment="1">
      <alignment horizontal="center"/>
    </xf>
    <xf numFmtId="165" fontId="3" fillId="0" borderId="4" xfId="1" applyNumberFormat="1" applyFont="1" applyBorder="1" applyAlignment="1">
      <alignment horizontal="center"/>
    </xf>
    <xf numFmtId="167" fontId="16" fillId="0" borderId="0" xfId="1" applyNumberFormat="1" applyFont="1" applyBorder="1" applyAlignment="1">
      <alignment horizontal="center"/>
    </xf>
    <xf numFmtId="164" fontId="19" fillId="0" borderId="0" xfId="1" applyNumberFormat="1" applyFont="1" applyAlignment="1">
      <alignment horizontal="right"/>
    </xf>
  </cellXfs>
  <cellStyles count="3">
    <cellStyle name="Euro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0</xdr:rowOff>
    </xdr:from>
    <xdr:to>
      <xdr:col>3</xdr:col>
      <xdr:colOff>114299</xdr:colOff>
      <xdr:row>5</xdr:row>
      <xdr:rowOff>95250</xdr:rowOff>
    </xdr:to>
    <xdr:pic>
      <xdr:nvPicPr>
        <xdr:cNvPr id="6" name="Picture 412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4" y="9725025"/>
          <a:ext cx="1362075" cy="10572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133350</xdr:rowOff>
    </xdr:from>
    <xdr:to>
      <xdr:col>2</xdr:col>
      <xdr:colOff>257175</xdr:colOff>
      <xdr:row>6</xdr:row>
      <xdr:rowOff>85725</xdr:rowOff>
    </xdr:to>
    <xdr:pic>
      <xdr:nvPicPr>
        <xdr:cNvPr id="3" name="Picture 412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323850"/>
          <a:ext cx="1285875" cy="914400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L58"/>
  <sheetViews>
    <sheetView tabSelected="1" zoomScaleNormal="100" workbookViewId="0">
      <selection activeCell="N53" sqref="N53"/>
    </sheetView>
  </sheetViews>
  <sheetFormatPr baseColWidth="10" defaultRowHeight="15" x14ac:dyDescent="0.25"/>
  <cols>
    <col min="1" max="1" width="6.7109375" customWidth="1"/>
    <col min="2" max="2" width="7.140625" style="37" customWidth="1"/>
    <col min="3" max="3" width="7" customWidth="1"/>
    <col min="4" max="4" width="20.7109375" customWidth="1"/>
    <col min="5" max="5" width="8.42578125" customWidth="1"/>
    <col min="6" max="7" width="7.28515625" customWidth="1"/>
    <col min="8" max="8" width="8" customWidth="1"/>
    <col min="9" max="9" width="7.7109375" customWidth="1"/>
    <col min="10" max="10" width="8.140625" customWidth="1"/>
    <col min="11" max="11" width="8.28515625" customWidth="1"/>
  </cols>
  <sheetData>
    <row r="1" spans="1:12" ht="15.75" x14ac:dyDescent="0.3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14"/>
    </row>
    <row r="2" spans="1:12" x14ac:dyDescent="0.25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15"/>
    </row>
    <row r="3" spans="1:12" x14ac:dyDescent="0.25">
      <c r="A3" s="52" t="s">
        <v>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16"/>
    </row>
    <row r="4" spans="1:12" x14ac:dyDescent="0.25">
      <c r="A4" s="53" t="s">
        <v>3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18"/>
    </row>
    <row r="5" spans="1:12" x14ac:dyDescent="0.25">
      <c r="A5" s="54" t="s">
        <v>16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19"/>
    </row>
    <row r="6" spans="1:12" x14ac:dyDescent="0.25">
      <c r="A6" s="49" t="s">
        <v>25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18"/>
    </row>
    <row r="7" spans="1:12" x14ac:dyDescent="0.25">
      <c r="A7" s="8" t="s">
        <v>4</v>
      </c>
      <c r="B7" s="35" t="s">
        <v>5</v>
      </c>
      <c r="C7" s="7" t="s">
        <v>6</v>
      </c>
      <c r="D7" s="21" t="s">
        <v>17</v>
      </c>
      <c r="E7" s="21" t="s">
        <v>8</v>
      </c>
      <c r="F7" s="9" t="s">
        <v>23</v>
      </c>
      <c r="G7" s="9" t="s">
        <v>10</v>
      </c>
      <c r="H7" s="22" t="s">
        <v>18</v>
      </c>
      <c r="I7" s="21" t="s">
        <v>7</v>
      </c>
      <c r="J7" s="20" t="s">
        <v>9</v>
      </c>
      <c r="K7" s="9" t="s">
        <v>11</v>
      </c>
      <c r="L7" s="1"/>
    </row>
    <row r="8" spans="1:12" x14ac:dyDescent="0.25">
      <c r="A8" s="23">
        <v>42072</v>
      </c>
      <c r="B8" s="12" t="s">
        <v>72</v>
      </c>
      <c r="C8" s="12" t="s">
        <v>73</v>
      </c>
      <c r="D8" s="45" t="s">
        <v>42</v>
      </c>
      <c r="E8" s="46">
        <v>915</v>
      </c>
      <c r="F8" s="46">
        <v>0</v>
      </c>
      <c r="G8" s="46">
        <v>0</v>
      </c>
      <c r="H8" s="46">
        <v>915</v>
      </c>
      <c r="I8" s="47">
        <v>558339</v>
      </c>
      <c r="J8" s="48">
        <v>0</v>
      </c>
      <c r="K8" s="48">
        <f t="shared" ref="K8:K51" si="0">H8-J8</f>
        <v>915</v>
      </c>
      <c r="L8" s="1"/>
    </row>
    <row r="9" spans="1:12" x14ac:dyDescent="0.25">
      <c r="A9" s="23">
        <v>42072</v>
      </c>
      <c r="B9" s="12" t="s">
        <v>58</v>
      </c>
      <c r="C9" s="12" t="s">
        <v>59</v>
      </c>
      <c r="D9" s="13" t="s">
        <v>26</v>
      </c>
      <c r="E9" s="11">
        <v>1172.6199999999999</v>
      </c>
      <c r="F9" s="11">
        <v>0</v>
      </c>
      <c r="G9" s="11">
        <v>0</v>
      </c>
      <c r="H9" s="11">
        <v>1172.6199999999999</v>
      </c>
      <c r="I9" s="17">
        <v>558098</v>
      </c>
      <c r="J9" s="24">
        <v>0</v>
      </c>
      <c r="K9" s="24">
        <f t="shared" si="0"/>
        <v>1172.6199999999999</v>
      </c>
      <c r="L9" s="1"/>
    </row>
    <row r="10" spans="1:12" x14ac:dyDescent="0.25">
      <c r="A10" s="23">
        <v>42072</v>
      </c>
      <c r="B10" s="12" t="s">
        <v>60</v>
      </c>
      <c r="C10" s="12" t="s">
        <v>61</v>
      </c>
      <c r="D10" s="13" t="s">
        <v>36</v>
      </c>
      <c r="E10" s="11">
        <v>1575.17</v>
      </c>
      <c r="F10" s="11">
        <v>0</v>
      </c>
      <c r="G10" s="11">
        <v>0</v>
      </c>
      <c r="H10" s="11">
        <v>1575.17</v>
      </c>
      <c r="I10" s="17">
        <v>558242</v>
      </c>
      <c r="J10" s="24">
        <v>0</v>
      </c>
      <c r="K10" s="24">
        <f t="shared" si="0"/>
        <v>1575.17</v>
      </c>
      <c r="L10" s="1"/>
    </row>
    <row r="11" spans="1:12" x14ac:dyDescent="0.25">
      <c r="A11" s="23">
        <v>42072</v>
      </c>
      <c r="B11" s="12" t="s">
        <v>62</v>
      </c>
      <c r="C11" s="12" t="s">
        <v>63</v>
      </c>
      <c r="D11" s="13" t="s">
        <v>28</v>
      </c>
      <c r="E11" s="11">
        <v>355.25</v>
      </c>
      <c r="F11" s="11">
        <v>0</v>
      </c>
      <c r="G11" s="11">
        <v>0</v>
      </c>
      <c r="H11" s="11">
        <v>355.25</v>
      </c>
      <c r="I11" s="17">
        <v>558140</v>
      </c>
      <c r="J11" s="24">
        <v>0</v>
      </c>
      <c r="K11" s="24">
        <f t="shared" si="0"/>
        <v>355.25</v>
      </c>
      <c r="L11" s="1"/>
    </row>
    <row r="12" spans="1:12" x14ac:dyDescent="0.25">
      <c r="A12" s="23">
        <v>42072</v>
      </c>
      <c r="B12" s="12" t="s">
        <v>64</v>
      </c>
      <c r="C12" s="12" t="s">
        <v>65</v>
      </c>
      <c r="D12" s="13" t="s">
        <v>50</v>
      </c>
      <c r="E12" s="11">
        <v>1002</v>
      </c>
      <c r="F12" s="11">
        <v>0</v>
      </c>
      <c r="G12" s="11">
        <v>0</v>
      </c>
      <c r="H12" s="11">
        <v>1002</v>
      </c>
      <c r="I12" s="17">
        <v>558394</v>
      </c>
      <c r="J12" s="24">
        <v>0</v>
      </c>
      <c r="K12" s="24">
        <f t="shared" si="0"/>
        <v>1002</v>
      </c>
      <c r="L12" s="1"/>
    </row>
    <row r="13" spans="1:12" x14ac:dyDescent="0.25">
      <c r="A13" s="23">
        <v>42072</v>
      </c>
      <c r="B13" s="12" t="s">
        <v>66</v>
      </c>
      <c r="C13" s="12" t="s">
        <v>67</v>
      </c>
      <c r="D13" s="13" t="s">
        <v>29</v>
      </c>
      <c r="E13" s="11">
        <v>342.74</v>
      </c>
      <c r="F13" s="11">
        <v>0</v>
      </c>
      <c r="G13" s="11">
        <v>0</v>
      </c>
      <c r="H13" s="11">
        <v>342.74</v>
      </c>
      <c r="I13" s="17">
        <v>558158</v>
      </c>
      <c r="J13" s="24">
        <v>0</v>
      </c>
      <c r="K13" s="24">
        <f t="shared" si="0"/>
        <v>342.74</v>
      </c>
      <c r="L13" s="1"/>
    </row>
    <row r="14" spans="1:12" x14ac:dyDescent="0.25">
      <c r="A14" s="23">
        <v>42072</v>
      </c>
      <c r="B14" s="12" t="s">
        <v>68</v>
      </c>
      <c r="C14" s="12" t="s">
        <v>69</v>
      </c>
      <c r="D14" s="13" t="s">
        <v>39</v>
      </c>
      <c r="E14" s="11">
        <v>3002.34</v>
      </c>
      <c r="F14" s="11">
        <v>0</v>
      </c>
      <c r="G14" s="11">
        <v>0</v>
      </c>
      <c r="H14" s="11">
        <v>3002.34</v>
      </c>
      <c r="I14" s="17">
        <v>558310</v>
      </c>
      <c r="J14" s="24">
        <v>0</v>
      </c>
      <c r="K14" s="24">
        <f t="shared" si="0"/>
        <v>3002.34</v>
      </c>
      <c r="L14" s="1"/>
    </row>
    <row r="15" spans="1:12" x14ac:dyDescent="0.25">
      <c r="A15" s="23">
        <v>42072</v>
      </c>
      <c r="B15" s="12" t="s">
        <v>70</v>
      </c>
      <c r="C15" s="12" t="s">
        <v>71</v>
      </c>
      <c r="D15" s="13" t="s">
        <v>47</v>
      </c>
      <c r="E15" s="11">
        <v>675</v>
      </c>
      <c r="F15" s="11">
        <v>0</v>
      </c>
      <c r="G15" s="11">
        <v>0</v>
      </c>
      <c r="H15" s="11">
        <v>675</v>
      </c>
      <c r="I15" s="17">
        <v>558372</v>
      </c>
      <c r="J15" s="24">
        <v>0</v>
      </c>
      <c r="K15" s="24">
        <f t="shared" si="0"/>
        <v>675</v>
      </c>
      <c r="L15" s="1"/>
    </row>
    <row r="16" spans="1:12" x14ac:dyDescent="0.25">
      <c r="A16" s="23">
        <v>42073</v>
      </c>
      <c r="B16" s="12" t="s">
        <v>74</v>
      </c>
      <c r="C16" s="12" t="s">
        <v>75</v>
      </c>
      <c r="D16" s="13" t="s">
        <v>49</v>
      </c>
      <c r="E16" s="11">
        <v>240</v>
      </c>
      <c r="F16" s="11">
        <v>0</v>
      </c>
      <c r="G16" s="11">
        <v>0</v>
      </c>
      <c r="H16" s="11">
        <v>240</v>
      </c>
      <c r="I16" s="17">
        <v>558393</v>
      </c>
      <c r="J16" s="24">
        <v>0</v>
      </c>
      <c r="K16" s="24">
        <f t="shared" si="0"/>
        <v>240</v>
      </c>
      <c r="L16" s="1"/>
    </row>
    <row r="17" spans="1:12" x14ac:dyDescent="0.25">
      <c r="A17" s="23">
        <v>42073</v>
      </c>
      <c r="B17" s="12" t="s">
        <v>76</v>
      </c>
      <c r="C17" s="12" t="s">
        <v>77</v>
      </c>
      <c r="D17" s="13" t="s">
        <v>32</v>
      </c>
      <c r="E17" s="11">
        <v>1294.19</v>
      </c>
      <c r="F17" s="11">
        <v>0</v>
      </c>
      <c r="G17" s="11">
        <v>0</v>
      </c>
      <c r="H17" s="11">
        <v>1294.19</v>
      </c>
      <c r="I17" s="17">
        <v>558201</v>
      </c>
      <c r="J17" s="24">
        <v>0</v>
      </c>
      <c r="K17" s="24">
        <f t="shared" si="0"/>
        <v>1294.19</v>
      </c>
      <c r="L17" s="1"/>
    </row>
    <row r="18" spans="1:12" x14ac:dyDescent="0.25">
      <c r="A18" s="23">
        <v>42073</v>
      </c>
      <c r="B18" s="12" t="s">
        <v>76</v>
      </c>
      <c r="C18" s="12" t="s">
        <v>77</v>
      </c>
      <c r="D18" s="13" t="s">
        <v>32</v>
      </c>
      <c r="E18" s="11">
        <v>853.83</v>
      </c>
      <c r="F18" s="11">
        <v>0</v>
      </c>
      <c r="G18" s="11">
        <v>0</v>
      </c>
      <c r="H18" s="11">
        <v>853.83</v>
      </c>
      <c r="I18" s="17">
        <v>558202</v>
      </c>
      <c r="J18" s="24">
        <v>0</v>
      </c>
      <c r="K18" s="24">
        <f t="shared" si="0"/>
        <v>853.83</v>
      </c>
      <c r="L18" s="1"/>
    </row>
    <row r="19" spans="1:12" x14ac:dyDescent="0.25">
      <c r="A19" s="23">
        <v>42073</v>
      </c>
      <c r="B19" s="12" t="s">
        <v>76</v>
      </c>
      <c r="C19" s="12" t="s">
        <v>77</v>
      </c>
      <c r="D19" s="13" t="s">
        <v>32</v>
      </c>
      <c r="E19" s="11">
        <v>308.04000000000002</v>
      </c>
      <c r="F19" s="11">
        <v>0</v>
      </c>
      <c r="G19" s="11">
        <v>36.96</v>
      </c>
      <c r="H19" s="11">
        <v>345</v>
      </c>
      <c r="I19" s="17">
        <v>558203</v>
      </c>
      <c r="J19" s="24">
        <v>0</v>
      </c>
      <c r="K19" s="24">
        <f t="shared" si="0"/>
        <v>345</v>
      </c>
      <c r="L19" s="1"/>
    </row>
    <row r="20" spans="1:12" x14ac:dyDescent="0.25">
      <c r="A20" s="23">
        <v>42073</v>
      </c>
      <c r="B20" s="12" t="s">
        <v>78</v>
      </c>
      <c r="C20" s="12" t="s">
        <v>79</v>
      </c>
      <c r="D20" s="13" t="s">
        <v>24</v>
      </c>
      <c r="E20" s="11">
        <v>481.06</v>
      </c>
      <c r="F20" s="11">
        <v>0</v>
      </c>
      <c r="G20" s="11">
        <v>0</v>
      </c>
      <c r="H20" s="11">
        <v>481.06</v>
      </c>
      <c r="I20" s="17">
        <v>558149</v>
      </c>
      <c r="J20" s="24">
        <v>0</v>
      </c>
      <c r="K20" s="24">
        <f t="shared" si="0"/>
        <v>481.06</v>
      </c>
      <c r="L20" s="1"/>
    </row>
    <row r="21" spans="1:12" x14ac:dyDescent="0.25">
      <c r="A21" s="23">
        <v>42073</v>
      </c>
      <c r="B21" s="12" t="s">
        <v>80</v>
      </c>
      <c r="C21" s="12" t="s">
        <v>81</v>
      </c>
      <c r="D21" s="13" t="s">
        <v>30</v>
      </c>
      <c r="E21" s="11">
        <v>1123</v>
      </c>
      <c r="F21" s="11">
        <v>0</v>
      </c>
      <c r="G21" s="11">
        <v>0</v>
      </c>
      <c r="H21" s="11">
        <v>1123</v>
      </c>
      <c r="I21" s="17">
        <v>558164</v>
      </c>
      <c r="J21" s="24">
        <v>0</v>
      </c>
      <c r="K21" s="24">
        <f t="shared" si="0"/>
        <v>1123</v>
      </c>
      <c r="L21" s="1"/>
    </row>
    <row r="22" spans="1:12" x14ac:dyDescent="0.25">
      <c r="A22" s="23">
        <v>42073</v>
      </c>
      <c r="B22" s="12" t="s">
        <v>82</v>
      </c>
      <c r="C22" s="12" t="s">
        <v>83</v>
      </c>
      <c r="D22" s="13" t="s">
        <v>31</v>
      </c>
      <c r="E22" s="11">
        <v>560</v>
      </c>
      <c r="F22" s="11">
        <v>0</v>
      </c>
      <c r="G22" s="11">
        <v>0</v>
      </c>
      <c r="H22" s="11">
        <v>560</v>
      </c>
      <c r="I22" s="17">
        <v>558183</v>
      </c>
      <c r="J22" s="24">
        <v>0</v>
      </c>
      <c r="K22" s="24">
        <f t="shared" si="0"/>
        <v>560</v>
      </c>
      <c r="L22" s="1"/>
    </row>
    <row r="23" spans="1:12" x14ac:dyDescent="0.25">
      <c r="A23" s="23">
        <v>42073</v>
      </c>
      <c r="B23" s="12" t="s">
        <v>84</v>
      </c>
      <c r="C23" s="12" t="s">
        <v>85</v>
      </c>
      <c r="D23" s="13" t="s">
        <v>27</v>
      </c>
      <c r="E23" s="11">
        <v>605</v>
      </c>
      <c r="F23" s="11">
        <v>0</v>
      </c>
      <c r="G23" s="11">
        <v>0</v>
      </c>
      <c r="H23" s="11">
        <v>605</v>
      </c>
      <c r="I23" s="17">
        <v>558121</v>
      </c>
      <c r="J23" s="24">
        <v>0</v>
      </c>
      <c r="K23" s="24">
        <f t="shared" si="0"/>
        <v>605</v>
      </c>
      <c r="L23" s="1"/>
    </row>
    <row r="24" spans="1:12" x14ac:dyDescent="0.25">
      <c r="A24" s="23">
        <v>42073</v>
      </c>
      <c r="B24" s="12" t="s">
        <v>84</v>
      </c>
      <c r="C24" s="12" t="s">
        <v>85</v>
      </c>
      <c r="D24" s="13" t="s">
        <v>27</v>
      </c>
      <c r="E24" s="11">
        <v>266.31</v>
      </c>
      <c r="F24" s="11">
        <v>0</v>
      </c>
      <c r="G24" s="11">
        <v>0</v>
      </c>
      <c r="H24" s="11">
        <v>266.31</v>
      </c>
      <c r="I24" s="17">
        <v>558123</v>
      </c>
      <c r="J24" s="24">
        <v>0</v>
      </c>
      <c r="K24" s="24">
        <f t="shared" si="0"/>
        <v>266.31</v>
      </c>
      <c r="L24" s="1"/>
    </row>
    <row r="25" spans="1:12" x14ac:dyDescent="0.25">
      <c r="A25" s="23">
        <v>42074</v>
      </c>
      <c r="B25" s="12" t="s">
        <v>86</v>
      </c>
      <c r="C25" s="12" t="s">
        <v>87</v>
      </c>
      <c r="D25" s="13" t="s">
        <v>34</v>
      </c>
      <c r="E25" s="11">
        <v>1447.35</v>
      </c>
      <c r="F25" s="11">
        <v>0</v>
      </c>
      <c r="G25" s="11">
        <v>0</v>
      </c>
      <c r="H25" s="11">
        <v>1447.35</v>
      </c>
      <c r="I25" s="17">
        <v>558221</v>
      </c>
      <c r="J25" s="24">
        <v>0</v>
      </c>
      <c r="K25" s="24">
        <f t="shared" si="0"/>
        <v>1447.35</v>
      </c>
      <c r="L25" s="1"/>
    </row>
    <row r="26" spans="1:12" x14ac:dyDescent="0.25">
      <c r="A26" s="23">
        <v>42074</v>
      </c>
      <c r="B26" s="12" t="s">
        <v>86</v>
      </c>
      <c r="C26" s="12" t="s">
        <v>87</v>
      </c>
      <c r="D26" s="13" t="s">
        <v>34</v>
      </c>
      <c r="E26" s="11">
        <v>707.35</v>
      </c>
      <c r="F26" s="11">
        <v>0</v>
      </c>
      <c r="G26" s="11">
        <v>0</v>
      </c>
      <c r="H26" s="11">
        <v>707.35</v>
      </c>
      <c r="I26" s="17">
        <v>558222</v>
      </c>
      <c r="J26" s="24">
        <v>0</v>
      </c>
      <c r="K26" s="24">
        <f t="shared" si="0"/>
        <v>707.35</v>
      </c>
      <c r="L26" s="1"/>
    </row>
    <row r="27" spans="1:12" x14ac:dyDescent="0.25">
      <c r="A27" s="23">
        <v>42074</v>
      </c>
      <c r="B27" s="12" t="s">
        <v>88</v>
      </c>
      <c r="C27" s="12" t="s">
        <v>89</v>
      </c>
      <c r="D27" s="13" t="s">
        <v>52</v>
      </c>
      <c r="E27" s="11">
        <v>162.55000000000001</v>
      </c>
      <c r="F27" s="11">
        <v>0</v>
      </c>
      <c r="G27" s="11">
        <v>0</v>
      </c>
      <c r="H27" s="11">
        <v>162.55000000000001</v>
      </c>
      <c r="I27" s="17">
        <v>558447</v>
      </c>
      <c r="J27" s="24">
        <v>0</v>
      </c>
      <c r="K27" s="24">
        <f t="shared" si="0"/>
        <v>162.55000000000001</v>
      </c>
      <c r="L27" s="1"/>
    </row>
    <row r="28" spans="1:12" x14ac:dyDescent="0.25">
      <c r="A28" s="23">
        <v>42074</v>
      </c>
      <c r="B28" s="12" t="s">
        <v>90</v>
      </c>
      <c r="C28" s="12" t="s">
        <v>91</v>
      </c>
      <c r="D28" s="13" t="s">
        <v>53</v>
      </c>
      <c r="E28" s="11">
        <v>1551.98</v>
      </c>
      <c r="F28" s="11">
        <v>0</v>
      </c>
      <c r="G28" s="11">
        <v>0</v>
      </c>
      <c r="H28" s="11">
        <v>1551.98</v>
      </c>
      <c r="I28" s="17">
        <v>558493</v>
      </c>
      <c r="J28" s="24">
        <v>0</v>
      </c>
      <c r="K28" s="24">
        <f t="shared" si="0"/>
        <v>1551.98</v>
      </c>
      <c r="L28" s="1"/>
    </row>
    <row r="29" spans="1:12" x14ac:dyDescent="0.25">
      <c r="A29" s="23">
        <v>42074</v>
      </c>
      <c r="B29" s="12" t="s">
        <v>92</v>
      </c>
      <c r="C29" s="12" t="s">
        <v>93</v>
      </c>
      <c r="D29" s="13" t="s">
        <v>51</v>
      </c>
      <c r="E29" s="11">
        <v>179</v>
      </c>
      <c r="F29" s="11">
        <v>0</v>
      </c>
      <c r="G29" s="11">
        <v>0</v>
      </c>
      <c r="H29" s="11">
        <v>179</v>
      </c>
      <c r="I29" s="17">
        <v>558443</v>
      </c>
      <c r="J29" s="24">
        <v>0</v>
      </c>
      <c r="K29" s="24">
        <f t="shared" si="0"/>
        <v>179</v>
      </c>
      <c r="L29" s="1"/>
    </row>
    <row r="30" spans="1:12" x14ac:dyDescent="0.25">
      <c r="A30" s="23">
        <v>42074</v>
      </c>
      <c r="B30" s="12" t="s">
        <v>94</v>
      </c>
      <c r="C30" s="12" t="s">
        <v>95</v>
      </c>
      <c r="D30" s="13" t="s">
        <v>56</v>
      </c>
      <c r="E30" s="11">
        <v>1369.8</v>
      </c>
      <c r="F30" s="11">
        <v>0</v>
      </c>
      <c r="G30" s="11">
        <v>0</v>
      </c>
      <c r="H30" s="11">
        <v>1369.8</v>
      </c>
      <c r="I30" s="17">
        <v>558502</v>
      </c>
      <c r="J30" s="24">
        <v>0</v>
      </c>
      <c r="K30" s="24">
        <f t="shared" si="0"/>
        <v>1369.8</v>
      </c>
      <c r="L30" s="1"/>
    </row>
    <row r="31" spans="1:12" x14ac:dyDescent="0.25">
      <c r="A31" s="23">
        <v>42074</v>
      </c>
      <c r="B31" s="12" t="s">
        <v>94</v>
      </c>
      <c r="C31" s="12" t="s">
        <v>95</v>
      </c>
      <c r="D31" s="13" t="s">
        <v>56</v>
      </c>
      <c r="E31" s="11">
        <v>662.92</v>
      </c>
      <c r="F31" s="11">
        <v>0</v>
      </c>
      <c r="G31" s="11">
        <v>19.82</v>
      </c>
      <c r="H31" s="11">
        <v>682.74</v>
      </c>
      <c r="I31" s="17">
        <v>558503</v>
      </c>
      <c r="J31" s="24">
        <v>0</v>
      </c>
      <c r="K31" s="24">
        <f t="shared" si="0"/>
        <v>682.74</v>
      </c>
      <c r="L31" s="1"/>
    </row>
    <row r="32" spans="1:12" x14ac:dyDescent="0.25">
      <c r="A32" s="23">
        <v>42074</v>
      </c>
      <c r="B32" s="12" t="s">
        <v>94</v>
      </c>
      <c r="C32" s="12" t="s">
        <v>95</v>
      </c>
      <c r="D32" s="13" t="s">
        <v>56</v>
      </c>
      <c r="E32" s="11">
        <v>258.14</v>
      </c>
      <c r="F32" s="11">
        <v>0</v>
      </c>
      <c r="G32" s="11">
        <v>30.97</v>
      </c>
      <c r="H32" s="11">
        <v>289.11</v>
      </c>
      <c r="I32" s="17">
        <v>558504</v>
      </c>
      <c r="J32" s="24">
        <v>0</v>
      </c>
      <c r="K32" s="24">
        <f t="shared" si="0"/>
        <v>289.11</v>
      </c>
      <c r="L32" s="1"/>
    </row>
    <row r="33" spans="1:12" x14ac:dyDescent="0.25">
      <c r="A33" s="23">
        <v>42074</v>
      </c>
      <c r="B33" s="12" t="s">
        <v>96</v>
      </c>
      <c r="C33" s="12" t="s">
        <v>97</v>
      </c>
      <c r="D33" s="13" t="s">
        <v>38</v>
      </c>
      <c r="E33" s="11">
        <v>1035</v>
      </c>
      <c r="F33" s="11">
        <v>0</v>
      </c>
      <c r="G33" s="11">
        <v>0</v>
      </c>
      <c r="H33" s="11">
        <v>1035</v>
      </c>
      <c r="I33" s="17">
        <v>558306</v>
      </c>
      <c r="J33" s="24">
        <v>0</v>
      </c>
      <c r="K33" s="24">
        <f t="shared" si="0"/>
        <v>1035</v>
      </c>
      <c r="L33" s="1"/>
    </row>
    <row r="34" spans="1:12" x14ac:dyDescent="0.25">
      <c r="A34" s="23">
        <v>42074</v>
      </c>
      <c r="B34" s="12" t="s">
        <v>98</v>
      </c>
      <c r="C34" s="12" t="s">
        <v>99</v>
      </c>
      <c r="D34" s="13" t="s">
        <v>33</v>
      </c>
      <c r="E34" s="11">
        <v>285</v>
      </c>
      <c r="F34" s="11">
        <v>0</v>
      </c>
      <c r="G34" s="11">
        <v>0</v>
      </c>
      <c r="H34" s="11">
        <v>285</v>
      </c>
      <c r="I34" s="17">
        <v>558205</v>
      </c>
      <c r="J34" s="24">
        <v>0</v>
      </c>
      <c r="K34" s="24">
        <f t="shared" si="0"/>
        <v>285</v>
      </c>
      <c r="L34" s="1"/>
    </row>
    <row r="35" spans="1:12" x14ac:dyDescent="0.25">
      <c r="A35" s="23">
        <v>42074</v>
      </c>
      <c r="B35" s="12" t="s">
        <v>98</v>
      </c>
      <c r="C35" s="12" t="s">
        <v>99</v>
      </c>
      <c r="D35" s="13" t="s">
        <v>33</v>
      </c>
      <c r="E35" s="11">
        <v>771.66</v>
      </c>
      <c r="F35" s="11">
        <v>0</v>
      </c>
      <c r="G35" s="11">
        <v>0</v>
      </c>
      <c r="H35" s="11">
        <v>771.66</v>
      </c>
      <c r="I35" s="17">
        <v>558445</v>
      </c>
      <c r="J35" s="24">
        <v>0</v>
      </c>
      <c r="K35" s="24">
        <f t="shared" si="0"/>
        <v>771.66</v>
      </c>
      <c r="L35" s="1"/>
    </row>
    <row r="36" spans="1:12" x14ac:dyDescent="0.25">
      <c r="A36" s="23">
        <v>42074</v>
      </c>
      <c r="B36" s="12" t="s">
        <v>100</v>
      </c>
      <c r="C36" s="12" t="s">
        <v>101</v>
      </c>
      <c r="D36" s="13" t="s">
        <v>46</v>
      </c>
      <c r="E36" s="11">
        <v>542</v>
      </c>
      <c r="F36" s="11">
        <v>0</v>
      </c>
      <c r="G36" s="11">
        <v>0</v>
      </c>
      <c r="H36" s="11">
        <v>542</v>
      </c>
      <c r="I36" s="17">
        <v>558355</v>
      </c>
      <c r="J36" s="24">
        <v>0</v>
      </c>
      <c r="K36" s="24">
        <f t="shared" si="0"/>
        <v>542</v>
      </c>
      <c r="L36" s="1"/>
    </row>
    <row r="37" spans="1:12" x14ac:dyDescent="0.25">
      <c r="A37" s="23">
        <v>42074</v>
      </c>
      <c r="B37" s="12" t="s">
        <v>102</v>
      </c>
      <c r="C37" s="12" t="s">
        <v>103</v>
      </c>
      <c r="D37" s="13" t="s">
        <v>57</v>
      </c>
      <c r="E37" s="11">
        <v>1037</v>
      </c>
      <c r="F37" s="11">
        <v>0</v>
      </c>
      <c r="G37" s="11">
        <v>0</v>
      </c>
      <c r="H37" s="11">
        <v>1037</v>
      </c>
      <c r="I37" s="17">
        <v>558550</v>
      </c>
      <c r="J37" s="24">
        <v>0</v>
      </c>
      <c r="K37" s="24">
        <f t="shared" si="0"/>
        <v>1037</v>
      </c>
      <c r="L37" s="1"/>
    </row>
    <row r="38" spans="1:12" x14ac:dyDescent="0.25">
      <c r="A38" s="23">
        <v>42075</v>
      </c>
      <c r="B38" s="12" t="s">
        <v>104</v>
      </c>
      <c r="C38" s="12" t="s">
        <v>105</v>
      </c>
      <c r="D38" s="13" t="s">
        <v>37</v>
      </c>
      <c r="E38" s="11">
        <v>1084.19</v>
      </c>
      <c r="F38" s="11">
        <v>0</v>
      </c>
      <c r="G38" s="11">
        <v>0</v>
      </c>
      <c r="H38" s="11">
        <v>1084.19</v>
      </c>
      <c r="I38" s="17">
        <v>558266</v>
      </c>
      <c r="J38" s="24">
        <v>0</v>
      </c>
      <c r="K38" s="24">
        <f t="shared" si="0"/>
        <v>1084.19</v>
      </c>
      <c r="L38" s="1"/>
    </row>
    <row r="39" spans="1:12" x14ac:dyDescent="0.25">
      <c r="A39" s="23">
        <v>42075</v>
      </c>
      <c r="B39" s="12" t="s">
        <v>106</v>
      </c>
      <c r="C39" s="12" t="s">
        <v>107</v>
      </c>
      <c r="D39" s="13" t="s">
        <v>35</v>
      </c>
      <c r="E39" s="11">
        <v>704.23</v>
      </c>
      <c r="F39" s="11">
        <v>0</v>
      </c>
      <c r="G39" s="11">
        <v>0</v>
      </c>
      <c r="H39" s="11">
        <v>704.23</v>
      </c>
      <c r="I39" s="17">
        <v>558224</v>
      </c>
      <c r="J39" s="24">
        <v>0</v>
      </c>
      <c r="K39" s="24">
        <f t="shared" si="0"/>
        <v>704.23</v>
      </c>
      <c r="L39" s="1"/>
    </row>
    <row r="40" spans="1:12" x14ac:dyDescent="0.25">
      <c r="A40" s="23">
        <v>42075</v>
      </c>
      <c r="B40" s="12" t="s">
        <v>108</v>
      </c>
      <c r="C40" s="12" t="s">
        <v>109</v>
      </c>
      <c r="D40" s="13" t="s">
        <v>40</v>
      </c>
      <c r="E40" s="11">
        <v>191.68</v>
      </c>
      <c r="F40" s="11">
        <v>0</v>
      </c>
      <c r="G40" s="11">
        <v>0</v>
      </c>
      <c r="H40" s="11">
        <v>191.68</v>
      </c>
      <c r="I40" s="17">
        <v>558321</v>
      </c>
      <c r="J40" s="24">
        <v>0</v>
      </c>
      <c r="K40" s="24">
        <f t="shared" si="0"/>
        <v>191.68</v>
      </c>
      <c r="L40" s="1"/>
    </row>
    <row r="41" spans="1:12" x14ac:dyDescent="0.25">
      <c r="A41" s="23">
        <v>42075</v>
      </c>
      <c r="B41" s="12" t="s">
        <v>110</v>
      </c>
      <c r="C41" s="12" t="s">
        <v>111</v>
      </c>
      <c r="D41" s="13" t="s">
        <v>48</v>
      </c>
      <c r="E41" s="11">
        <v>888.84</v>
      </c>
      <c r="F41" s="11">
        <v>0</v>
      </c>
      <c r="G41" s="11">
        <v>0</v>
      </c>
      <c r="H41" s="11">
        <v>888.84</v>
      </c>
      <c r="I41" s="17">
        <v>558373</v>
      </c>
      <c r="J41" s="24">
        <v>0</v>
      </c>
      <c r="K41" s="24">
        <f t="shared" si="0"/>
        <v>888.84</v>
      </c>
      <c r="L41" s="1"/>
    </row>
    <row r="42" spans="1:12" x14ac:dyDescent="0.25">
      <c r="A42" s="23">
        <v>42075</v>
      </c>
      <c r="B42" s="12" t="s">
        <v>112</v>
      </c>
      <c r="C42" s="12" t="s">
        <v>113</v>
      </c>
      <c r="D42" s="13" t="s">
        <v>41</v>
      </c>
      <c r="E42" s="11">
        <v>1129.02</v>
      </c>
      <c r="F42" s="11">
        <v>0</v>
      </c>
      <c r="G42" s="11">
        <v>0</v>
      </c>
      <c r="H42" s="11">
        <v>1129.02</v>
      </c>
      <c r="I42" s="17">
        <v>558330</v>
      </c>
      <c r="J42" s="24">
        <v>0</v>
      </c>
      <c r="K42" s="24">
        <f t="shared" si="0"/>
        <v>1129.02</v>
      </c>
      <c r="L42" s="1"/>
    </row>
    <row r="43" spans="1:12" x14ac:dyDescent="0.25">
      <c r="A43" s="23">
        <v>42075</v>
      </c>
      <c r="B43" s="12" t="s">
        <v>112</v>
      </c>
      <c r="C43" s="12" t="s">
        <v>113</v>
      </c>
      <c r="D43" s="13" t="s">
        <v>41</v>
      </c>
      <c r="E43" s="11">
        <v>414.09</v>
      </c>
      <c r="F43" s="11">
        <v>0</v>
      </c>
      <c r="G43" s="11">
        <v>26.89</v>
      </c>
      <c r="H43" s="11">
        <v>440.98</v>
      </c>
      <c r="I43" s="17">
        <v>558332</v>
      </c>
      <c r="J43" s="24">
        <v>0</v>
      </c>
      <c r="K43" s="24">
        <f t="shared" si="0"/>
        <v>440.98</v>
      </c>
      <c r="L43" s="1"/>
    </row>
    <row r="44" spans="1:12" x14ac:dyDescent="0.25">
      <c r="A44" s="23">
        <v>42075</v>
      </c>
      <c r="B44" s="12" t="s">
        <v>114</v>
      </c>
      <c r="C44" s="12" t="s">
        <v>115</v>
      </c>
      <c r="D44" s="13" t="s">
        <v>43</v>
      </c>
      <c r="E44" s="11">
        <v>574.05999999999995</v>
      </c>
      <c r="F44" s="11">
        <v>0</v>
      </c>
      <c r="G44" s="11">
        <v>0</v>
      </c>
      <c r="H44" s="11">
        <v>574.05999999999995</v>
      </c>
      <c r="I44" s="17">
        <v>558342</v>
      </c>
      <c r="J44" s="24">
        <v>0</v>
      </c>
      <c r="K44" s="24">
        <f t="shared" si="0"/>
        <v>574.05999999999995</v>
      </c>
      <c r="L44" s="1"/>
    </row>
    <row r="45" spans="1:12" x14ac:dyDescent="0.25">
      <c r="A45" s="23">
        <v>42076</v>
      </c>
      <c r="B45" s="12" t="s">
        <v>116</v>
      </c>
      <c r="C45" s="12" t="s">
        <v>130</v>
      </c>
      <c r="D45" s="13" t="s">
        <v>128</v>
      </c>
      <c r="E45" s="11">
        <v>370.74</v>
      </c>
      <c r="F45" s="11">
        <v>0</v>
      </c>
      <c r="G45" s="11">
        <v>0</v>
      </c>
      <c r="H45" s="11">
        <v>370.74</v>
      </c>
      <c r="I45" s="17">
        <v>558463</v>
      </c>
      <c r="J45" s="24">
        <v>0</v>
      </c>
      <c r="K45" s="24">
        <f t="shared" si="0"/>
        <v>370.74</v>
      </c>
      <c r="L45" s="1"/>
    </row>
    <row r="46" spans="1:12" x14ac:dyDescent="0.25">
      <c r="A46" s="23">
        <v>42076</v>
      </c>
      <c r="B46" s="12" t="s">
        <v>117</v>
      </c>
      <c r="C46" s="12" t="s">
        <v>131</v>
      </c>
      <c r="D46" s="13" t="s">
        <v>129</v>
      </c>
      <c r="E46" s="11">
        <v>828.5</v>
      </c>
      <c r="F46" s="11">
        <v>0</v>
      </c>
      <c r="G46" s="11">
        <v>0</v>
      </c>
      <c r="H46" s="11">
        <v>828.5</v>
      </c>
      <c r="I46" s="17">
        <v>558338</v>
      </c>
      <c r="J46" s="24">
        <v>0</v>
      </c>
      <c r="K46" s="24">
        <f t="shared" si="0"/>
        <v>828.5</v>
      </c>
      <c r="L46" s="1"/>
    </row>
    <row r="47" spans="1:12" x14ac:dyDescent="0.25">
      <c r="A47" s="23">
        <v>42076</v>
      </c>
      <c r="B47" s="12" t="s">
        <v>118</v>
      </c>
      <c r="C47" s="12" t="s">
        <v>119</v>
      </c>
      <c r="D47" s="13" t="s">
        <v>55</v>
      </c>
      <c r="E47" s="11">
        <v>1535.44</v>
      </c>
      <c r="F47" s="11">
        <v>0</v>
      </c>
      <c r="G47" s="11">
        <v>114</v>
      </c>
      <c r="H47" s="11">
        <v>1649.44</v>
      </c>
      <c r="I47" s="17">
        <v>558497</v>
      </c>
      <c r="J47" s="24">
        <v>0</v>
      </c>
      <c r="K47" s="24">
        <f t="shared" si="0"/>
        <v>1649.44</v>
      </c>
      <c r="L47" s="1"/>
    </row>
    <row r="48" spans="1:12" x14ac:dyDescent="0.25">
      <c r="A48" s="23">
        <v>42076</v>
      </c>
      <c r="B48" s="12" t="s">
        <v>120</v>
      </c>
      <c r="C48" s="12" t="s">
        <v>121</v>
      </c>
      <c r="D48" s="13" t="s">
        <v>54</v>
      </c>
      <c r="E48" s="11">
        <v>1849.4</v>
      </c>
      <c r="F48" s="11">
        <v>0</v>
      </c>
      <c r="G48" s="11">
        <v>57</v>
      </c>
      <c r="H48" s="11">
        <v>1906.4</v>
      </c>
      <c r="I48" s="17">
        <v>558495</v>
      </c>
      <c r="J48" s="24">
        <v>0</v>
      </c>
      <c r="K48" s="24">
        <f t="shared" si="0"/>
        <v>1906.4</v>
      </c>
      <c r="L48" s="1"/>
    </row>
    <row r="49" spans="1:12" x14ac:dyDescent="0.25">
      <c r="A49" s="23">
        <v>42076</v>
      </c>
      <c r="B49" s="12" t="s">
        <v>122</v>
      </c>
      <c r="C49" s="12" t="s">
        <v>123</v>
      </c>
      <c r="D49" s="13" t="s">
        <v>45</v>
      </c>
      <c r="E49" s="11">
        <v>268</v>
      </c>
      <c r="F49" s="11">
        <v>0</v>
      </c>
      <c r="G49" s="11">
        <v>0</v>
      </c>
      <c r="H49" s="11">
        <v>268</v>
      </c>
      <c r="I49" s="17">
        <v>558349</v>
      </c>
      <c r="J49" s="24">
        <v>0</v>
      </c>
      <c r="K49" s="24">
        <f t="shared" si="0"/>
        <v>268</v>
      </c>
      <c r="L49" s="1"/>
    </row>
    <row r="50" spans="1:12" x14ac:dyDescent="0.25">
      <c r="A50" s="23">
        <v>42076</v>
      </c>
      <c r="B50" s="12" t="s">
        <v>124</v>
      </c>
      <c r="C50" s="12" t="s">
        <v>125</v>
      </c>
      <c r="D50" s="13" t="s">
        <v>44</v>
      </c>
      <c r="E50" s="11">
        <v>850.92</v>
      </c>
      <c r="F50" s="11">
        <v>0</v>
      </c>
      <c r="G50" s="11">
        <v>0</v>
      </c>
      <c r="H50" s="11">
        <v>850.92</v>
      </c>
      <c r="I50" s="17">
        <v>558346</v>
      </c>
      <c r="J50" s="24">
        <v>0</v>
      </c>
      <c r="K50" s="24">
        <f t="shared" si="0"/>
        <v>850.92</v>
      </c>
      <c r="L50" s="1"/>
    </row>
    <row r="51" spans="1:12" x14ac:dyDescent="0.25">
      <c r="A51" s="23">
        <v>42076</v>
      </c>
      <c r="B51" s="12" t="s">
        <v>126</v>
      </c>
      <c r="C51" s="12" t="s">
        <v>127</v>
      </c>
      <c r="D51" s="13" t="s">
        <v>22</v>
      </c>
      <c r="E51" s="11">
        <v>110</v>
      </c>
      <c r="F51" s="11">
        <v>0</v>
      </c>
      <c r="G51" s="11">
        <v>0</v>
      </c>
      <c r="H51" s="11">
        <v>110</v>
      </c>
      <c r="I51" s="17">
        <v>558189</v>
      </c>
      <c r="J51" s="24">
        <v>0</v>
      </c>
      <c r="K51" s="24">
        <f t="shared" si="0"/>
        <v>110</v>
      </c>
      <c r="L51" s="1"/>
    </row>
    <row r="52" spans="1:12" x14ac:dyDescent="0.25">
      <c r="E52" s="43">
        <f t="shared" ref="E52:H52" si="1">SUM(E8:E51)</f>
        <v>35580.409999999996</v>
      </c>
      <c r="F52" s="43">
        <f t="shared" si="1"/>
        <v>0</v>
      </c>
      <c r="G52" s="43">
        <f t="shared" si="1"/>
        <v>285.64</v>
      </c>
      <c r="H52" s="43">
        <f t="shared" si="1"/>
        <v>35866.049999999996</v>
      </c>
      <c r="I52" s="44"/>
      <c r="J52" s="43">
        <f>SUM(J8:J51)</f>
        <v>0</v>
      </c>
      <c r="K52" s="43">
        <f>SUM(K8:K51)</f>
        <v>35866.049999999996</v>
      </c>
    </row>
    <row r="53" spans="1:12" ht="18.75" customHeight="1" x14ac:dyDescent="0.25">
      <c r="A53" s="1"/>
      <c r="B53" s="36"/>
      <c r="C53" s="1"/>
      <c r="D53" s="1"/>
      <c r="E53" s="3" t="s">
        <v>20</v>
      </c>
      <c r="G53" s="6"/>
      <c r="H53" s="55">
        <f>K52</f>
        <v>35866.049999999996</v>
      </c>
      <c r="I53" s="55"/>
      <c r="J53" s="55"/>
      <c r="K53" s="55"/>
    </row>
    <row r="54" spans="1:12" ht="9" customHeight="1" x14ac:dyDescent="0.3">
      <c r="A54" s="1"/>
      <c r="B54" s="36"/>
      <c r="C54" s="1"/>
      <c r="D54" s="1"/>
      <c r="E54" s="3"/>
      <c r="G54" s="6"/>
      <c r="H54" s="42"/>
      <c r="I54" s="42"/>
    </row>
    <row r="55" spans="1:12" x14ac:dyDescent="0.25">
      <c r="A55" s="2"/>
      <c r="B55" s="62" t="s">
        <v>12</v>
      </c>
      <c r="C55" s="63"/>
      <c r="D55" s="64"/>
      <c r="E55" s="65" t="s">
        <v>13</v>
      </c>
      <c r="F55" s="66"/>
      <c r="G55" s="66"/>
      <c r="H55" s="67"/>
      <c r="I55" s="4"/>
    </row>
    <row r="56" spans="1:12" x14ac:dyDescent="0.25">
      <c r="A56" s="2"/>
      <c r="B56" s="68"/>
      <c r="C56" s="69"/>
      <c r="D56" s="70"/>
      <c r="E56" s="74"/>
      <c r="F56" s="75"/>
      <c r="G56" s="75"/>
      <c r="H56" s="76"/>
      <c r="I56" s="4"/>
    </row>
    <row r="57" spans="1:12" ht="10.5" customHeight="1" x14ac:dyDescent="0.25">
      <c r="A57" s="1"/>
      <c r="B57" s="71"/>
      <c r="C57" s="72"/>
      <c r="D57" s="73"/>
      <c r="E57" s="77"/>
      <c r="F57" s="78"/>
      <c r="G57" s="78"/>
      <c r="H57" s="79"/>
      <c r="I57" s="1"/>
    </row>
    <row r="58" spans="1:12" x14ac:dyDescent="0.25">
      <c r="A58" s="1"/>
      <c r="B58" s="56" t="s">
        <v>132</v>
      </c>
      <c r="C58" s="57"/>
      <c r="D58" s="58"/>
      <c r="E58" s="59" t="s">
        <v>15</v>
      </c>
      <c r="F58" s="60"/>
      <c r="G58" s="60"/>
      <c r="H58" s="61"/>
      <c r="I58" s="1"/>
    </row>
  </sheetData>
  <sortState ref="D8:K53">
    <sortCondition ref="D8"/>
  </sortState>
  <mergeCells count="13">
    <mergeCell ref="H53:K53"/>
    <mergeCell ref="B58:D58"/>
    <mergeCell ref="E58:H58"/>
    <mergeCell ref="B55:D55"/>
    <mergeCell ref="E55:H55"/>
    <mergeCell ref="B56:D57"/>
    <mergeCell ref="E56:H57"/>
    <mergeCell ref="A6:K6"/>
    <mergeCell ref="A1:K1"/>
    <mergeCell ref="A2:K2"/>
    <mergeCell ref="A3:K3"/>
    <mergeCell ref="A4:K4"/>
    <mergeCell ref="A5:K5"/>
  </mergeCells>
  <printOptions horizontalCentered="1"/>
  <pageMargins left="0" right="0" top="0" bottom="0" header="0.31496062992125984" footer="0.31496062992125984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8"/>
  <sheetViews>
    <sheetView workbookViewId="0">
      <selection activeCell="L18" sqref="L18"/>
    </sheetView>
  </sheetViews>
  <sheetFormatPr baseColWidth="10" defaultRowHeight="15" x14ac:dyDescent="0.25"/>
  <cols>
    <col min="1" max="1" width="7.7109375" customWidth="1"/>
    <col min="2" max="2" width="9.85546875" customWidth="1"/>
    <col min="3" max="3" width="8.5703125" customWidth="1"/>
    <col min="4" max="4" width="13.28515625" customWidth="1"/>
    <col min="5" max="5" width="5.85546875" customWidth="1"/>
    <col min="6" max="6" width="6.7109375" customWidth="1"/>
    <col min="7" max="7" width="7.140625" customWidth="1"/>
    <col min="8" max="8" width="8.28515625" customWidth="1"/>
    <col min="9" max="9" width="8.140625" customWidth="1"/>
    <col min="10" max="10" width="10.28515625" customWidth="1"/>
    <col min="11" max="11" width="8.42578125" customWidth="1"/>
  </cols>
  <sheetData>
    <row r="2" spans="1:11" ht="15.75" x14ac:dyDescent="0.3">
      <c r="A2" s="50" t="s">
        <v>0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1" x14ac:dyDescent="0.25">
      <c r="A3" s="51" t="s">
        <v>1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 x14ac:dyDescent="0.25">
      <c r="A4" s="52" t="s">
        <v>2</v>
      </c>
      <c r="B4" s="52"/>
      <c r="C4" s="52"/>
      <c r="D4" s="52"/>
      <c r="E4" s="52"/>
      <c r="F4" s="52"/>
      <c r="G4" s="52"/>
      <c r="H4" s="52"/>
      <c r="I4" s="52"/>
      <c r="J4" s="52"/>
      <c r="K4" s="52"/>
    </row>
    <row r="5" spans="1:11" x14ac:dyDescent="0.25">
      <c r="A5" s="53" t="s">
        <v>3</v>
      </c>
      <c r="B5" s="53"/>
      <c r="C5" s="53"/>
      <c r="D5" s="53"/>
      <c r="E5" s="53"/>
      <c r="F5" s="53"/>
      <c r="G5" s="53"/>
      <c r="H5" s="53"/>
      <c r="I5" s="53"/>
      <c r="J5" s="53"/>
      <c r="K5" s="53"/>
    </row>
    <row r="6" spans="1:11" x14ac:dyDescent="0.25">
      <c r="A6" s="54" t="s">
        <v>16</v>
      </c>
      <c r="B6" s="54"/>
      <c r="C6" s="54"/>
      <c r="D6" s="54"/>
      <c r="E6" s="54"/>
      <c r="F6" s="54"/>
      <c r="G6" s="54"/>
      <c r="H6" s="54"/>
      <c r="I6" s="54"/>
      <c r="J6" s="54"/>
      <c r="K6" s="54"/>
    </row>
    <row r="7" spans="1:11" x14ac:dyDescent="0.25">
      <c r="A7" s="49" t="s">
        <v>21</v>
      </c>
      <c r="B7" s="49"/>
      <c r="C7" s="49"/>
      <c r="D7" s="49"/>
      <c r="E7" s="49"/>
      <c r="F7" s="49"/>
      <c r="G7" s="49"/>
      <c r="H7" s="49"/>
      <c r="I7" s="49"/>
      <c r="J7" s="49"/>
      <c r="K7" s="49"/>
    </row>
    <row r="8" spans="1:11" x14ac:dyDescent="0.25">
      <c r="A8" s="8" t="s">
        <v>4</v>
      </c>
      <c r="B8" s="35" t="s">
        <v>5</v>
      </c>
      <c r="C8" s="7" t="s">
        <v>6</v>
      </c>
      <c r="D8" s="21" t="s">
        <v>17</v>
      </c>
      <c r="E8" s="21" t="s">
        <v>8</v>
      </c>
      <c r="F8" s="9" t="s">
        <v>10</v>
      </c>
      <c r="G8" s="22" t="s">
        <v>18</v>
      </c>
      <c r="H8" s="21" t="s">
        <v>7</v>
      </c>
      <c r="I8" s="20" t="s">
        <v>9</v>
      </c>
      <c r="J8" s="20" t="s">
        <v>19</v>
      </c>
      <c r="K8" s="9" t="s">
        <v>11</v>
      </c>
    </row>
    <row r="9" spans="1:11" x14ac:dyDescent="0.25">
      <c r="A9" s="23"/>
      <c r="B9" s="12"/>
      <c r="C9" s="12"/>
      <c r="D9" s="13"/>
      <c r="E9" s="11"/>
      <c r="F9" s="11"/>
      <c r="G9" s="11"/>
      <c r="H9" s="17"/>
      <c r="I9" s="24">
        <f>E9*5%</f>
        <v>0</v>
      </c>
      <c r="J9" s="24">
        <f t="shared" ref="J9" si="0">G9+I9</f>
        <v>0</v>
      </c>
      <c r="K9" s="24">
        <f t="shared" ref="K9" si="1">G9</f>
        <v>0</v>
      </c>
    </row>
    <row r="10" spans="1:11" x14ac:dyDescent="0.25">
      <c r="A10" s="80"/>
      <c r="B10" s="80"/>
      <c r="C10" s="80"/>
      <c r="D10" s="80"/>
      <c r="E10" s="25">
        <f>SUM(E9:E9)</f>
        <v>0</v>
      </c>
      <c r="F10" s="25">
        <f>SUM(F9:F9)</f>
        <v>0</v>
      </c>
      <c r="G10" s="25">
        <f>SUM(G9:G9)</f>
        <v>0</v>
      </c>
      <c r="H10" s="25"/>
      <c r="I10" s="25">
        <f>SUM(I9:I9)</f>
        <v>0</v>
      </c>
      <c r="J10" s="25">
        <f>SUM(J9:J9)</f>
        <v>0</v>
      </c>
      <c r="K10" s="25">
        <f>SUM(K9:K9)</f>
        <v>0</v>
      </c>
    </row>
    <row r="11" spans="1:11" x14ac:dyDescent="0.25">
      <c r="A11" s="27"/>
      <c r="B11" s="28"/>
      <c r="C11" s="28"/>
      <c r="D11" s="29"/>
      <c r="E11" s="30"/>
      <c r="F11" s="31"/>
      <c r="G11" s="32"/>
      <c r="H11" s="26"/>
      <c r="I11" s="33"/>
      <c r="J11" s="33"/>
      <c r="K11" s="34"/>
    </row>
    <row r="12" spans="1:11" ht="20.25" x14ac:dyDescent="0.3">
      <c r="A12" s="1"/>
      <c r="B12" s="36"/>
      <c r="C12" s="1"/>
      <c r="D12" s="1"/>
      <c r="E12" s="3" t="s">
        <v>20</v>
      </c>
      <c r="G12" s="6"/>
      <c r="H12" s="81">
        <f>K10</f>
        <v>0</v>
      </c>
      <c r="I12" s="81"/>
      <c r="J12" s="10"/>
    </row>
    <row r="13" spans="1:11" ht="15.75" x14ac:dyDescent="0.25">
      <c r="A13" s="1"/>
      <c r="B13" s="36"/>
      <c r="C13" s="1"/>
      <c r="D13" s="1"/>
      <c r="E13" s="5"/>
      <c r="F13" s="3"/>
      <c r="G13" s="6"/>
      <c r="H13" s="6"/>
      <c r="I13" s="10"/>
      <c r="J13" s="10"/>
      <c r="K13" s="41"/>
    </row>
    <row r="14" spans="1:11" x14ac:dyDescent="0.25">
      <c r="A14" s="2"/>
      <c r="B14" s="62" t="s">
        <v>12</v>
      </c>
      <c r="C14" s="63"/>
      <c r="D14" s="64"/>
      <c r="E14" s="66" t="s">
        <v>13</v>
      </c>
      <c r="F14" s="66"/>
      <c r="G14" s="66"/>
      <c r="H14" s="66"/>
      <c r="I14" s="67"/>
      <c r="J14" s="38"/>
      <c r="K14" s="4"/>
    </row>
    <row r="15" spans="1:11" x14ac:dyDescent="0.25">
      <c r="A15" s="2"/>
      <c r="B15" s="68"/>
      <c r="C15" s="69"/>
      <c r="D15" s="70"/>
      <c r="E15" s="74"/>
      <c r="F15" s="75"/>
      <c r="G15" s="75"/>
      <c r="H15" s="75"/>
      <c r="I15" s="76"/>
      <c r="J15" s="39"/>
      <c r="K15" s="4"/>
    </row>
    <row r="16" spans="1:11" x14ac:dyDescent="0.25">
      <c r="A16" s="1"/>
      <c r="B16" s="71"/>
      <c r="C16" s="72"/>
      <c r="D16" s="73"/>
      <c r="E16" s="77"/>
      <c r="F16" s="78"/>
      <c r="G16" s="78"/>
      <c r="H16" s="78"/>
      <c r="I16" s="79"/>
      <c r="J16" s="39"/>
      <c r="K16" s="1"/>
    </row>
    <row r="17" spans="1:11" x14ac:dyDescent="0.25">
      <c r="A17" s="1"/>
      <c r="B17" s="56" t="s">
        <v>14</v>
      </c>
      <c r="C17" s="57"/>
      <c r="D17" s="58"/>
      <c r="E17" s="59" t="s">
        <v>15</v>
      </c>
      <c r="F17" s="60"/>
      <c r="G17" s="60"/>
      <c r="H17" s="60"/>
      <c r="I17" s="61"/>
      <c r="J17" s="40"/>
      <c r="K17" s="1"/>
    </row>
    <row r="18" spans="1:11" x14ac:dyDescent="0.25">
      <c r="B18" s="37"/>
    </row>
  </sheetData>
  <mergeCells count="14">
    <mergeCell ref="A7:K7"/>
    <mergeCell ref="A2:K2"/>
    <mergeCell ref="A3:K3"/>
    <mergeCell ref="A4:K4"/>
    <mergeCell ref="A5:K5"/>
    <mergeCell ref="A6:K6"/>
    <mergeCell ref="B17:D17"/>
    <mergeCell ref="E17:I17"/>
    <mergeCell ref="A10:D10"/>
    <mergeCell ref="H12:I12"/>
    <mergeCell ref="B14:D14"/>
    <mergeCell ref="E14:I14"/>
    <mergeCell ref="B15:D16"/>
    <mergeCell ref="E15:I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CAPPO CORREO</vt:lpstr>
      <vt:lpstr>CAPPOEMPLADOS</vt:lpstr>
    </vt:vector>
  </TitlesOfParts>
  <Company>farmacia universidad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farmacia universidad cappoucla</dc:creator>
  <cp:lastModifiedBy>gsanchez</cp:lastModifiedBy>
  <cp:lastPrinted>2015-03-19T16:28:48Z</cp:lastPrinted>
  <dcterms:created xsi:type="dcterms:W3CDTF">2011-11-14T15:12:23Z</dcterms:created>
  <dcterms:modified xsi:type="dcterms:W3CDTF">2015-03-24T15:56:10Z</dcterms:modified>
</cp:coreProperties>
</file>