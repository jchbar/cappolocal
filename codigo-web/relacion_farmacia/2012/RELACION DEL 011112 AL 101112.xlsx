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5195" windowHeight="8190" activeTab="3"/>
  </bookViews>
  <sheets>
    <sheet name="CAPPOUCLA" sheetId="1" r:id="rId1"/>
    <sheet name="EMPLEADOS CAPPO" sheetId="2" r:id="rId2"/>
    <sheet name="Hoja3" sheetId="3" r:id="rId3"/>
    <sheet name="Hoja1" sheetId="4" r:id="rId4"/>
  </sheets>
  <calcPr calcId="144525"/>
</workbook>
</file>

<file path=xl/calcChain.xml><?xml version="1.0" encoding="utf-8"?>
<calcChain xmlns="http://schemas.openxmlformats.org/spreadsheetml/2006/main">
  <c r="E79" i="4" l="1"/>
  <c r="D79" i="4"/>
  <c r="C79" i="4"/>
  <c r="B79" i="4"/>
  <c r="A79" i="4"/>
  <c r="E78" i="4"/>
  <c r="D78" i="4"/>
  <c r="C78" i="4"/>
  <c r="B78" i="4"/>
  <c r="A78" i="4"/>
  <c r="E77" i="4"/>
  <c r="D77" i="4"/>
  <c r="C77" i="4"/>
  <c r="B77" i="4"/>
  <c r="A77" i="4"/>
  <c r="E76" i="4"/>
  <c r="D76" i="4"/>
  <c r="C76" i="4"/>
  <c r="B76" i="4"/>
  <c r="A76" i="4"/>
  <c r="E75" i="4"/>
  <c r="D75" i="4"/>
  <c r="C75" i="4"/>
  <c r="B75" i="4"/>
  <c r="A75" i="4"/>
  <c r="E74" i="4"/>
  <c r="D74" i="4"/>
  <c r="C74" i="4"/>
  <c r="B74" i="4"/>
  <c r="A74" i="4"/>
  <c r="E73" i="4"/>
  <c r="D73" i="4"/>
  <c r="C73" i="4"/>
  <c r="B73" i="4"/>
  <c r="A73" i="4"/>
  <c r="E72" i="4"/>
  <c r="D72" i="4"/>
  <c r="C72" i="4"/>
  <c r="B72" i="4"/>
  <c r="A72" i="4"/>
  <c r="E71" i="4"/>
  <c r="D71" i="4"/>
  <c r="C71" i="4"/>
  <c r="B71" i="4"/>
  <c r="A71" i="4"/>
  <c r="E70" i="4"/>
  <c r="D70" i="4"/>
  <c r="C70" i="4"/>
  <c r="B70" i="4"/>
  <c r="A70" i="4"/>
  <c r="E69" i="4"/>
  <c r="D69" i="4"/>
  <c r="C69" i="4"/>
  <c r="B69" i="4"/>
  <c r="A69" i="4"/>
  <c r="E68" i="4"/>
  <c r="D68" i="4"/>
  <c r="C68" i="4"/>
  <c r="B68" i="4"/>
  <c r="A68" i="4"/>
  <c r="E67" i="4"/>
  <c r="D67" i="4"/>
  <c r="C67" i="4"/>
  <c r="B67" i="4"/>
  <c r="A67" i="4"/>
  <c r="E66" i="4"/>
  <c r="D66" i="4"/>
  <c r="C66" i="4"/>
  <c r="B66" i="4"/>
  <c r="A66" i="4"/>
  <c r="E65" i="4"/>
  <c r="D65" i="4"/>
  <c r="C65" i="4"/>
  <c r="B65" i="4"/>
  <c r="A65" i="4"/>
  <c r="E64" i="4"/>
  <c r="D64" i="4"/>
  <c r="C64" i="4"/>
  <c r="B64" i="4"/>
  <c r="A64" i="4"/>
  <c r="E63" i="4"/>
  <c r="D63" i="4"/>
  <c r="C63" i="4"/>
  <c r="B63" i="4"/>
  <c r="A63" i="4"/>
  <c r="E62" i="4"/>
  <c r="D62" i="4"/>
  <c r="C62" i="4"/>
  <c r="B62" i="4"/>
  <c r="A62" i="4"/>
  <c r="E61" i="4"/>
  <c r="D61" i="4"/>
  <c r="C61" i="4"/>
  <c r="B61" i="4"/>
  <c r="A61" i="4"/>
  <c r="E60" i="4"/>
  <c r="D60" i="4"/>
  <c r="C60" i="4"/>
  <c r="B60" i="4"/>
  <c r="A60" i="4"/>
  <c r="E59" i="4"/>
  <c r="D59" i="4"/>
  <c r="C59" i="4"/>
  <c r="B59" i="4"/>
  <c r="A59" i="4"/>
  <c r="E58" i="4"/>
  <c r="D58" i="4"/>
  <c r="C58" i="4"/>
  <c r="B58" i="4"/>
  <c r="A58" i="4"/>
  <c r="E57" i="4"/>
  <c r="D57" i="4"/>
  <c r="C57" i="4"/>
  <c r="B57" i="4"/>
  <c r="A57" i="4"/>
  <c r="E56" i="4"/>
  <c r="D56" i="4"/>
  <c r="C56" i="4"/>
  <c r="B56" i="4"/>
  <c r="A56" i="4"/>
  <c r="E55" i="4"/>
  <c r="D55" i="4"/>
  <c r="C55" i="4"/>
  <c r="B55" i="4"/>
  <c r="A55" i="4"/>
  <c r="E54" i="4"/>
  <c r="D54" i="4"/>
  <c r="C54" i="4"/>
  <c r="B54" i="4"/>
  <c r="A54" i="4"/>
  <c r="E53" i="4"/>
  <c r="D53" i="4"/>
  <c r="C53" i="4"/>
  <c r="B53" i="4"/>
  <c r="A53" i="4"/>
  <c r="E52" i="4"/>
  <c r="D52" i="4"/>
  <c r="C52" i="4"/>
  <c r="B52" i="4"/>
  <c r="A52" i="4"/>
  <c r="E51" i="4"/>
  <c r="D51" i="4"/>
  <c r="C51" i="4"/>
  <c r="B51" i="4"/>
  <c r="A51" i="4"/>
  <c r="E50" i="4"/>
  <c r="D50" i="4"/>
  <c r="C50" i="4"/>
  <c r="B50" i="4"/>
  <c r="A50" i="4"/>
  <c r="E49" i="4"/>
  <c r="D49" i="4"/>
  <c r="C49" i="4"/>
  <c r="B49" i="4"/>
  <c r="A49" i="4"/>
  <c r="E48" i="4"/>
  <c r="D48" i="4"/>
  <c r="C48" i="4"/>
  <c r="B48" i="4"/>
  <c r="A48" i="4"/>
  <c r="E47" i="4"/>
  <c r="D47" i="4"/>
  <c r="C47" i="4"/>
  <c r="B47" i="4"/>
  <c r="A47" i="4"/>
  <c r="E46" i="4"/>
  <c r="D46" i="4"/>
  <c r="C46" i="4"/>
  <c r="B46" i="4"/>
  <c r="A46" i="4"/>
  <c r="E45" i="4"/>
  <c r="D45" i="4"/>
  <c r="C45" i="4"/>
  <c r="B45" i="4"/>
  <c r="A45" i="4"/>
  <c r="E44" i="4"/>
  <c r="D44" i="4"/>
  <c r="C44" i="4"/>
  <c r="B44" i="4"/>
  <c r="A44" i="4"/>
  <c r="E43" i="4"/>
  <c r="D43" i="4"/>
  <c r="C43" i="4"/>
  <c r="B43" i="4"/>
  <c r="A43" i="4"/>
  <c r="E42" i="4"/>
  <c r="D42" i="4"/>
  <c r="C42" i="4"/>
  <c r="B42" i="4"/>
  <c r="A42" i="4"/>
  <c r="E41" i="4"/>
  <c r="D41" i="4"/>
  <c r="C41" i="4"/>
  <c r="B41" i="4"/>
  <c r="A41" i="4"/>
  <c r="E40" i="4"/>
  <c r="D40" i="4"/>
  <c r="C40" i="4"/>
  <c r="B40" i="4"/>
  <c r="A40" i="4"/>
  <c r="E39" i="4"/>
  <c r="D39" i="4"/>
  <c r="C39" i="4"/>
  <c r="B39" i="4"/>
  <c r="A39" i="4"/>
  <c r="E38" i="4"/>
  <c r="D38" i="4"/>
  <c r="C38" i="4"/>
  <c r="B38" i="4"/>
  <c r="A38" i="4"/>
  <c r="E37" i="4"/>
  <c r="D37" i="4"/>
  <c r="C37" i="4"/>
  <c r="B37" i="4"/>
  <c r="A37" i="4"/>
  <c r="E36" i="4"/>
  <c r="D36" i="4"/>
  <c r="C36" i="4"/>
  <c r="B36" i="4"/>
  <c r="A36" i="4"/>
  <c r="E35" i="4"/>
  <c r="D35" i="4"/>
  <c r="C35" i="4"/>
  <c r="B35" i="4"/>
  <c r="A35" i="4"/>
  <c r="E34" i="4"/>
  <c r="D34" i="4"/>
  <c r="C34" i="4"/>
  <c r="B34" i="4"/>
  <c r="A34" i="4"/>
  <c r="E33" i="4"/>
  <c r="D33" i="4"/>
  <c r="C33" i="4"/>
  <c r="B33" i="4"/>
  <c r="A33" i="4"/>
  <c r="E32" i="4"/>
  <c r="D32" i="4"/>
  <c r="C32" i="4"/>
  <c r="B32" i="4"/>
  <c r="A32" i="4"/>
  <c r="E31" i="4"/>
  <c r="D31" i="4"/>
  <c r="C31" i="4"/>
  <c r="B31" i="4"/>
  <c r="A31" i="4"/>
  <c r="E30" i="4"/>
  <c r="D30" i="4"/>
  <c r="C30" i="4"/>
  <c r="B30" i="4"/>
  <c r="A30" i="4"/>
  <c r="E29" i="4"/>
  <c r="D29" i="4"/>
  <c r="C29" i="4"/>
  <c r="B29" i="4"/>
  <c r="A29" i="4"/>
  <c r="E28" i="4"/>
  <c r="D28" i="4"/>
  <c r="C28" i="4"/>
  <c r="B28" i="4"/>
  <c r="A28" i="4"/>
  <c r="E27" i="4"/>
  <c r="D27" i="4"/>
  <c r="C27" i="4"/>
  <c r="B27" i="4"/>
  <c r="A27" i="4"/>
  <c r="E26" i="4"/>
  <c r="D26" i="4"/>
  <c r="C26" i="4"/>
  <c r="B26" i="4"/>
  <c r="A26" i="4"/>
  <c r="E25" i="4"/>
  <c r="D25" i="4"/>
  <c r="C25" i="4"/>
  <c r="B25" i="4"/>
  <c r="A25" i="4"/>
  <c r="E24" i="4"/>
  <c r="D24" i="4"/>
  <c r="C24" i="4"/>
  <c r="B24" i="4"/>
  <c r="A24" i="4"/>
  <c r="E23" i="4"/>
  <c r="D23" i="4"/>
  <c r="C23" i="4"/>
  <c r="B23" i="4"/>
  <c r="A23" i="4"/>
  <c r="E22" i="4"/>
  <c r="D22" i="4"/>
  <c r="C22" i="4"/>
  <c r="B22" i="4"/>
  <c r="A22" i="4"/>
  <c r="E21" i="4"/>
  <c r="D21" i="4"/>
  <c r="C21" i="4"/>
  <c r="B21" i="4"/>
  <c r="A21" i="4"/>
  <c r="E20" i="4"/>
  <c r="D20" i="4"/>
  <c r="C20" i="4"/>
  <c r="B20" i="4"/>
  <c r="A20" i="4"/>
  <c r="E19" i="4"/>
  <c r="D19" i="4"/>
  <c r="C19" i="4"/>
  <c r="B19" i="4"/>
  <c r="A19" i="4"/>
  <c r="E18" i="4"/>
  <c r="D18" i="4"/>
  <c r="C18" i="4"/>
  <c r="B18" i="4"/>
  <c r="A18" i="4"/>
  <c r="E17" i="4"/>
  <c r="D17" i="4"/>
  <c r="C17" i="4"/>
  <c r="B17" i="4"/>
  <c r="A17" i="4"/>
  <c r="E16" i="4"/>
  <c r="D16" i="4"/>
  <c r="C16" i="4"/>
  <c r="B16" i="4"/>
  <c r="A16" i="4"/>
  <c r="E15" i="4"/>
  <c r="D15" i="4"/>
  <c r="C15" i="4"/>
  <c r="B15" i="4"/>
  <c r="A15" i="4"/>
  <c r="E14" i="4"/>
  <c r="D14" i="4"/>
  <c r="C14" i="4"/>
  <c r="B14" i="4"/>
  <c r="A14" i="4"/>
  <c r="E13" i="4"/>
  <c r="D13" i="4"/>
  <c r="C13" i="4"/>
  <c r="B13" i="4"/>
  <c r="A13" i="4"/>
  <c r="E12" i="4"/>
  <c r="D12" i="4"/>
  <c r="C12" i="4"/>
  <c r="B12" i="4"/>
  <c r="A12" i="4"/>
  <c r="E11" i="4"/>
  <c r="D11" i="4"/>
  <c r="C11" i="4"/>
  <c r="B11" i="4"/>
  <c r="A11" i="4"/>
  <c r="E10" i="4"/>
  <c r="D10" i="4"/>
  <c r="C10" i="4"/>
  <c r="B10" i="4"/>
  <c r="A10" i="4"/>
  <c r="E9" i="4"/>
  <c r="D9" i="4"/>
  <c r="C9" i="4"/>
  <c r="B9" i="4"/>
  <c r="A9" i="4"/>
  <c r="E8" i="4"/>
  <c r="D8" i="4"/>
  <c r="C8" i="4"/>
  <c r="B8" i="4"/>
  <c r="A8" i="4"/>
  <c r="E7" i="4"/>
  <c r="D7" i="4"/>
  <c r="C7" i="4"/>
  <c r="B7" i="4"/>
  <c r="A7" i="4"/>
  <c r="E6" i="4"/>
  <c r="D6" i="4"/>
  <c r="C6" i="4"/>
  <c r="B6" i="4"/>
  <c r="A6" i="4"/>
  <c r="E5" i="4"/>
  <c r="D5" i="4"/>
  <c r="C5" i="4"/>
  <c r="B5" i="4"/>
  <c r="A5" i="4"/>
  <c r="E4" i="4"/>
  <c r="D4" i="4"/>
  <c r="C4" i="4"/>
  <c r="B4" i="4"/>
  <c r="A4" i="4"/>
  <c r="E3" i="4"/>
  <c r="D3" i="4"/>
  <c r="C3" i="4"/>
  <c r="B3" i="4"/>
  <c r="A3" i="4"/>
  <c r="E2" i="4"/>
  <c r="D2" i="4"/>
  <c r="C2" i="4"/>
  <c r="B2" i="4"/>
  <c r="A2" i="4"/>
  <c r="E1" i="4"/>
  <c r="D1" i="4"/>
  <c r="C1" i="4"/>
  <c r="B1" i="4"/>
  <c r="A1" i="4"/>
  <c r="F79" i="3"/>
  <c r="E79" i="3"/>
  <c r="D79" i="3"/>
  <c r="C79" i="3"/>
  <c r="B79" i="3"/>
  <c r="F78" i="3"/>
  <c r="E78" i="3"/>
  <c r="D78" i="3"/>
  <c r="C78" i="3"/>
  <c r="B78" i="3"/>
  <c r="F77" i="3"/>
  <c r="E77" i="3"/>
  <c r="D77" i="3"/>
  <c r="C77" i="3"/>
  <c r="B77" i="3"/>
  <c r="F76" i="3"/>
  <c r="E76" i="3"/>
  <c r="D76" i="3"/>
  <c r="C76" i="3"/>
  <c r="B76" i="3"/>
  <c r="F75" i="3"/>
  <c r="E75" i="3"/>
  <c r="D75" i="3"/>
  <c r="C75" i="3"/>
  <c r="B75" i="3"/>
  <c r="F74" i="3"/>
  <c r="E74" i="3"/>
  <c r="D74" i="3"/>
  <c r="C74" i="3"/>
  <c r="B74" i="3"/>
  <c r="F73" i="3"/>
  <c r="E73" i="3"/>
  <c r="D73" i="3"/>
  <c r="C73" i="3"/>
  <c r="B73" i="3"/>
  <c r="F72" i="3"/>
  <c r="E72" i="3"/>
  <c r="D72" i="3"/>
  <c r="C72" i="3"/>
  <c r="B72" i="3"/>
  <c r="F71" i="3"/>
  <c r="E71" i="3"/>
  <c r="D71" i="3"/>
  <c r="C71" i="3"/>
  <c r="B71" i="3"/>
  <c r="F70" i="3"/>
  <c r="E70" i="3"/>
  <c r="D70" i="3"/>
  <c r="C70" i="3"/>
  <c r="B70" i="3"/>
  <c r="F69" i="3"/>
  <c r="E69" i="3"/>
  <c r="D69" i="3"/>
  <c r="C69" i="3"/>
  <c r="B69" i="3"/>
  <c r="F68" i="3"/>
  <c r="E68" i="3"/>
  <c r="D68" i="3"/>
  <c r="C68" i="3"/>
  <c r="B68" i="3"/>
  <c r="F67" i="3"/>
  <c r="E67" i="3"/>
  <c r="D67" i="3"/>
  <c r="C67" i="3"/>
  <c r="B67" i="3"/>
  <c r="F66" i="3"/>
  <c r="E66" i="3"/>
  <c r="D66" i="3"/>
  <c r="C66" i="3"/>
  <c r="B66" i="3"/>
  <c r="F65" i="3"/>
  <c r="E65" i="3"/>
  <c r="D65" i="3"/>
  <c r="C65" i="3"/>
  <c r="B65" i="3"/>
  <c r="F64" i="3"/>
  <c r="E64" i="3"/>
  <c r="D64" i="3"/>
  <c r="C64" i="3"/>
  <c r="B64" i="3"/>
  <c r="F63" i="3"/>
  <c r="E63" i="3"/>
  <c r="D63" i="3"/>
  <c r="C63" i="3"/>
  <c r="B63" i="3"/>
  <c r="F62" i="3"/>
  <c r="E62" i="3"/>
  <c r="D62" i="3"/>
  <c r="C62" i="3"/>
  <c r="B62" i="3"/>
  <c r="F61" i="3"/>
  <c r="E61" i="3"/>
  <c r="D61" i="3"/>
  <c r="C61" i="3"/>
  <c r="B61" i="3"/>
  <c r="F60" i="3"/>
  <c r="E60" i="3"/>
  <c r="D60" i="3"/>
  <c r="C60" i="3"/>
  <c r="B60" i="3"/>
  <c r="F59" i="3"/>
  <c r="E59" i="3"/>
  <c r="D59" i="3"/>
  <c r="C59" i="3"/>
  <c r="B59" i="3"/>
  <c r="F58" i="3"/>
  <c r="E58" i="3"/>
  <c r="D58" i="3"/>
  <c r="C58" i="3"/>
  <c r="B58" i="3"/>
  <c r="F57" i="3"/>
  <c r="E57" i="3"/>
  <c r="D57" i="3"/>
  <c r="C57" i="3"/>
  <c r="B57" i="3"/>
  <c r="F56" i="3"/>
  <c r="E56" i="3"/>
  <c r="D56" i="3"/>
  <c r="C56" i="3"/>
  <c r="B56" i="3"/>
  <c r="F55" i="3"/>
  <c r="E55" i="3"/>
  <c r="D55" i="3"/>
  <c r="C55" i="3"/>
  <c r="B55" i="3"/>
  <c r="F54" i="3"/>
  <c r="E54" i="3"/>
  <c r="D54" i="3"/>
  <c r="C54" i="3"/>
  <c r="B54" i="3"/>
  <c r="F53" i="3"/>
  <c r="E53" i="3"/>
  <c r="D53" i="3"/>
  <c r="C53" i="3"/>
  <c r="B53" i="3"/>
  <c r="F52" i="3"/>
  <c r="E52" i="3"/>
  <c r="D52" i="3"/>
  <c r="C52" i="3"/>
  <c r="B52" i="3"/>
  <c r="F51" i="3"/>
  <c r="E51" i="3"/>
  <c r="D51" i="3"/>
  <c r="C51" i="3"/>
  <c r="B51" i="3"/>
  <c r="F50" i="3"/>
  <c r="E50" i="3"/>
  <c r="D50" i="3"/>
  <c r="C50" i="3"/>
  <c r="B50" i="3"/>
  <c r="F49" i="3"/>
  <c r="E49" i="3"/>
  <c r="D49" i="3"/>
  <c r="C49" i="3"/>
  <c r="B49" i="3"/>
  <c r="F48" i="3"/>
  <c r="E48" i="3"/>
  <c r="D48" i="3"/>
  <c r="C48" i="3"/>
  <c r="B48" i="3"/>
  <c r="F47" i="3"/>
  <c r="E47" i="3"/>
  <c r="D47" i="3"/>
  <c r="C47" i="3"/>
  <c r="B47" i="3"/>
  <c r="F46" i="3"/>
  <c r="E46" i="3"/>
  <c r="D46" i="3"/>
  <c r="C46" i="3"/>
  <c r="B46" i="3"/>
  <c r="F45" i="3"/>
  <c r="E45" i="3"/>
  <c r="D45" i="3"/>
  <c r="C45" i="3"/>
  <c r="B45" i="3"/>
  <c r="F44" i="3"/>
  <c r="E44" i="3"/>
  <c r="D44" i="3"/>
  <c r="C44" i="3"/>
  <c r="B44" i="3"/>
  <c r="F43" i="3"/>
  <c r="E43" i="3"/>
  <c r="D43" i="3"/>
  <c r="C43" i="3"/>
  <c r="B43" i="3"/>
  <c r="F42" i="3"/>
  <c r="E42" i="3"/>
  <c r="D42" i="3"/>
  <c r="C42" i="3"/>
  <c r="B42" i="3"/>
  <c r="F41" i="3"/>
  <c r="E41" i="3"/>
  <c r="D41" i="3"/>
  <c r="C41" i="3"/>
  <c r="B41" i="3"/>
  <c r="F40" i="3"/>
  <c r="E40" i="3"/>
  <c r="D40" i="3"/>
  <c r="C40" i="3"/>
  <c r="B40" i="3"/>
  <c r="F39" i="3"/>
  <c r="E39" i="3"/>
  <c r="D39" i="3"/>
  <c r="C39" i="3"/>
  <c r="B39" i="3"/>
  <c r="F38" i="3"/>
  <c r="E38" i="3"/>
  <c r="D38" i="3"/>
  <c r="C38" i="3"/>
  <c r="B38" i="3"/>
  <c r="F37" i="3"/>
  <c r="E37" i="3"/>
  <c r="D37" i="3"/>
  <c r="C37" i="3"/>
  <c r="B37" i="3"/>
  <c r="F36" i="3"/>
  <c r="E36" i="3"/>
  <c r="D36" i="3"/>
  <c r="C36" i="3"/>
  <c r="B36" i="3"/>
  <c r="F35" i="3"/>
  <c r="E35" i="3"/>
  <c r="D35" i="3"/>
  <c r="C35" i="3"/>
  <c r="B35" i="3"/>
  <c r="F34" i="3"/>
  <c r="E34" i="3"/>
  <c r="D34" i="3"/>
  <c r="C34" i="3"/>
  <c r="B34" i="3"/>
  <c r="F33" i="3"/>
  <c r="E33" i="3"/>
  <c r="D33" i="3"/>
  <c r="C33" i="3"/>
  <c r="B33" i="3"/>
  <c r="F32" i="3"/>
  <c r="E32" i="3"/>
  <c r="D32" i="3"/>
  <c r="C32" i="3"/>
  <c r="B32" i="3"/>
  <c r="F31" i="3"/>
  <c r="E31" i="3"/>
  <c r="D31" i="3"/>
  <c r="C31" i="3"/>
  <c r="B31" i="3"/>
  <c r="F30" i="3"/>
  <c r="E30" i="3"/>
  <c r="D30" i="3"/>
  <c r="C30" i="3"/>
  <c r="B30" i="3"/>
  <c r="F29" i="3"/>
  <c r="E29" i="3"/>
  <c r="D29" i="3"/>
  <c r="C29" i="3"/>
  <c r="B29" i="3"/>
  <c r="F28" i="3"/>
  <c r="E28" i="3"/>
  <c r="D28" i="3"/>
  <c r="C28" i="3"/>
  <c r="B28" i="3"/>
  <c r="F27" i="3"/>
  <c r="E27" i="3"/>
  <c r="D27" i="3"/>
  <c r="C27" i="3"/>
  <c r="B27" i="3"/>
  <c r="F26" i="3"/>
  <c r="E26" i="3"/>
  <c r="D26" i="3"/>
  <c r="C26" i="3"/>
  <c r="B26" i="3"/>
  <c r="F25" i="3"/>
  <c r="E25" i="3"/>
  <c r="D25" i="3"/>
  <c r="C25" i="3"/>
  <c r="B25" i="3"/>
  <c r="F24" i="3"/>
  <c r="E24" i="3"/>
  <c r="D24" i="3"/>
  <c r="C24" i="3"/>
  <c r="B24" i="3"/>
  <c r="F23" i="3"/>
  <c r="E23" i="3"/>
  <c r="D23" i="3"/>
  <c r="C23" i="3"/>
  <c r="B23" i="3"/>
  <c r="F22" i="3"/>
  <c r="E22" i="3"/>
  <c r="D22" i="3"/>
  <c r="C22" i="3"/>
  <c r="B22" i="3"/>
  <c r="F21" i="3"/>
  <c r="E21" i="3"/>
  <c r="D21" i="3"/>
  <c r="C21" i="3"/>
  <c r="B21" i="3"/>
  <c r="F20" i="3"/>
  <c r="E20" i="3"/>
  <c r="D20" i="3"/>
  <c r="C20" i="3"/>
  <c r="B20" i="3"/>
  <c r="F19" i="3"/>
  <c r="E19" i="3"/>
  <c r="D19" i="3"/>
  <c r="C19" i="3"/>
  <c r="B19" i="3"/>
  <c r="F18" i="3"/>
  <c r="E18" i="3"/>
  <c r="D18" i="3"/>
  <c r="C18" i="3"/>
  <c r="B18" i="3"/>
  <c r="F17" i="3"/>
  <c r="E17" i="3"/>
  <c r="D17" i="3"/>
  <c r="C17" i="3"/>
  <c r="B17" i="3"/>
  <c r="F16" i="3"/>
  <c r="E16" i="3"/>
  <c r="D16" i="3"/>
  <c r="C16" i="3"/>
  <c r="B16" i="3"/>
  <c r="F15" i="3"/>
  <c r="E15" i="3"/>
  <c r="D15" i="3"/>
  <c r="C15" i="3"/>
  <c r="B15" i="3"/>
  <c r="F14" i="3"/>
  <c r="E14" i="3"/>
  <c r="D14" i="3"/>
  <c r="C14" i="3"/>
  <c r="B14" i="3"/>
  <c r="F13" i="3"/>
  <c r="E13" i="3"/>
  <c r="D13" i="3"/>
  <c r="C13" i="3"/>
  <c r="B13" i="3"/>
  <c r="F12" i="3"/>
  <c r="E12" i="3"/>
  <c r="D12" i="3"/>
  <c r="C12" i="3"/>
  <c r="B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F3" i="3"/>
  <c r="E3" i="3"/>
  <c r="D3" i="3"/>
  <c r="C3" i="3"/>
  <c r="B3" i="3"/>
  <c r="F2" i="3"/>
  <c r="E2" i="3"/>
  <c r="D2" i="3"/>
  <c r="C2" i="3"/>
  <c r="B2" i="3"/>
  <c r="F1" i="3"/>
  <c r="E1" i="3"/>
  <c r="D1" i="3"/>
  <c r="C1" i="3"/>
  <c r="B1" i="3"/>
  <c r="J87" i="1" l="1"/>
  <c r="J10" i="2" l="1"/>
  <c r="L11" i="2"/>
  <c r="K11" i="2"/>
  <c r="J11" i="2"/>
  <c r="I15" i="2" s="1"/>
  <c r="H11" i="2"/>
  <c r="G11" i="2"/>
  <c r="F11" i="2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9" i="1"/>
</calcChain>
</file>

<file path=xl/sharedStrings.xml><?xml version="1.0" encoding="utf-8"?>
<sst xmlns="http://schemas.openxmlformats.org/spreadsheetml/2006/main" count="283" uniqueCount="134">
  <si>
    <t xml:space="preserve">FARMACIA UNIVERSIDAD </t>
  </si>
  <si>
    <t>C A P P O - U C L A</t>
  </si>
  <si>
    <t>Carrera 21 entre Calles 12 y 13 Nro 12-13 telef. 0251-2524973/2527081</t>
  </si>
  <si>
    <t>Relación de Cobranza</t>
  </si>
  <si>
    <t xml:space="preserve"> CAPPO - UCLA</t>
  </si>
  <si>
    <t>Desde  01/11/12 Hasta: 10/11/12</t>
  </si>
  <si>
    <t>Fecha</t>
  </si>
  <si>
    <t>Apellido y Nombre</t>
  </si>
  <si>
    <t>Cédula</t>
  </si>
  <si>
    <t>Cod. Socio</t>
  </si>
  <si>
    <t>Factura</t>
  </si>
  <si>
    <t>Monto</t>
  </si>
  <si>
    <t>Dcto. Clte.</t>
  </si>
  <si>
    <t>Total Facturas</t>
  </si>
  <si>
    <t>Dcto. Cap.</t>
  </si>
  <si>
    <t>IVA</t>
  </si>
  <si>
    <t>Neto</t>
  </si>
  <si>
    <t>ALVARADO  PEDRO</t>
  </si>
  <si>
    <t>00140</t>
  </si>
  <si>
    <t>ALVARADO YULITH</t>
  </si>
  <si>
    <t>00138</t>
  </si>
  <si>
    <t>ALVAREZ JOSE</t>
  </si>
  <si>
    <t>00160</t>
  </si>
  <si>
    <t>AMARO PABLO</t>
  </si>
  <si>
    <t>00187</t>
  </si>
  <si>
    <t>CASTAÑEDA FRANCISCO</t>
  </si>
  <si>
    <t>00352</t>
  </si>
  <si>
    <t>CASTELLANOS VICENTE</t>
  </si>
  <si>
    <t>00304</t>
  </si>
  <si>
    <t>CASTILLO JOSE</t>
  </si>
  <si>
    <t>00361</t>
  </si>
  <si>
    <t>CHIRINOS GREGORIO</t>
  </si>
  <si>
    <t>00366</t>
  </si>
  <si>
    <t>CORRALES CLARISA</t>
  </si>
  <si>
    <t>00343</t>
  </si>
  <si>
    <t>DUNO RIVERO EDGAR</t>
  </si>
  <si>
    <t>00511</t>
  </si>
  <si>
    <t>DURAN  ADRIAN</t>
  </si>
  <si>
    <t>00500</t>
  </si>
  <si>
    <t>DURAN JESUS</t>
  </si>
  <si>
    <t>00512</t>
  </si>
  <si>
    <t>FRANCO  ALIBERT</t>
  </si>
  <si>
    <t>00721</t>
  </si>
  <si>
    <t>GALLARDO  SILVERIO</t>
  </si>
  <si>
    <t>00863</t>
  </si>
  <si>
    <t>GIL  PABLO</t>
  </si>
  <si>
    <t>00814</t>
  </si>
  <si>
    <t>GOMEZ MEDINA JUAN</t>
  </si>
  <si>
    <t>00918</t>
  </si>
  <si>
    <t>GRATEROL JHONNY</t>
  </si>
  <si>
    <t>00938</t>
  </si>
  <si>
    <t>GRATEROL YAILILI</t>
  </si>
  <si>
    <t>00887</t>
  </si>
  <si>
    <t>GUANIPA  MIGUEL</t>
  </si>
  <si>
    <t>00896</t>
  </si>
  <si>
    <t>GUASIMUCARO HENRY</t>
  </si>
  <si>
    <t>00889</t>
  </si>
  <si>
    <t>GUERRA  JOSE</t>
  </si>
  <si>
    <t>00879</t>
  </si>
  <si>
    <t>GUEVARA  JOSE</t>
  </si>
  <si>
    <t>00848</t>
  </si>
  <si>
    <t>HERNANDEZ  CARLOS</t>
  </si>
  <si>
    <t>00968</t>
  </si>
  <si>
    <t>HERNANDEZ HECTOR</t>
  </si>
  <si>
    <t>00943</t>
  </si>
  <si>
    <t>HERNANDEZ JORGE</t>
  </si>
  <si>
    <t>00909</t>
  </si>
  <si>
    <t>JIMENEZ EDGAR SOLANO</t>
  </si>
  <si>
    <t>01104</t>
  </si>
  <si>
    <t>JUAREZ NESTOR</t>
  </si>
  <si>
    <t>01106</t>
  </si>
  <si>
    <t>LARA PEREZ VIANNYS</t>
  </si>
  <si>
    <t>01351</t>
  </si>
  <si>
    <t>LINAREZ MARLON</t>
  </si>
  <si>
    <t>01336</t>
  </si>
  <si>
    <t>LOPEZ ANA</t>
  </si>
  <si>
    <t>01337</t>
  </si>
  <si>
    <t>LUCENA CARMEN</t>
  </si>
  <si>
    <t>01313</t>
  </si>
  <si>
    <t>MARTINEZ  TIBERIO</t>
  </si>
  <si>
    <t>01400</t>
  </si>
  <si>
    <t>MENDOZA  RAFAEL</t>
  </si>
  <si>
    <t>01434</t>
  </si>
  <si>
    <t>ORELLANA FREDDY</t>
  </si>
  <si>
    <t>01623</t>
  </si>
  <si>
    <t>ORTIZ JAIRO</t>
  </si>
  <si>
    <t>01621</t>
  </si>
  <si>
    <t>PACHECO  FELICIANO</t>
  </si>
  <si>
    <t>01726</t>
  </si>
  <si>
    <t>PARRA GLADYS</t>
  </si>
  <si>
    <t>01727</t>
  </si>
  <si>
    <t>PEREZ ALEXANDER</t>
  </si>
  <si>
    <t>01786</t>
  </si>
  <si>
    <t>PEREZ AVILA LUIS</t>
  </si>
  <si>
    <t>01782</t>
  </si>
  <si>
    <t>PEROZO RAFAEL</t>
  </si>
  <si>
    <t>01741</t>
  </si>
  <si>
    <t>PIÑA  DAISY</t>
  </si>
  <si>
    <t>01777</t>
  </si>
  <si>
    <t>RAMOS A. BRAULIO</t>
  </si>
  <si>
    <t>01939</t>
  </si>
  <si>
    <t>RODRIGUEZ  OSWALDO</t>
  </si>
  <si>
    <t>01947</t>
  </si>
  <si>
    <t>SALAS FELIX</t>
  </si>
  <si>
    <t>02042</t>
  </si>
  <si>
    <t xml:space="preserve">SANCHEZ GLENDA </t>
  </si>
  <si>
    <t>02095</t>
  </si>
  <si>
    <t>519648</t>
  </si>
  <si>
    <t>SILVA GARCIA RAFAEL</t>
  </si>
  <si>
    <t>02072</t>
  </si>
  <si>
    <t>SUAREZ  NAURO</t>
  </si>
  <si>
    <t>02057</t>
  </si>
  <si>
    <t>URETA JORGE V.</t>
  </si>
  <si>
    <t>02209</t>
  </si>
  <si>
    <t>VALDERRAMA FRANCISCO</t>
  </si>
  <si>
    <t>02302</t>
  </si>
  <si>
    <t>VILLANUEVA RAFAEL</t>
  </si>
  <si>
    <t>02330</t>
  </si>
  <si>
    <t>VIRGUEZ DARWIN</t>
  </si>
  <si>
    <t>02344</t>
  </si>
  <si>
    <t>VIRGUEZ U PAUCIDES A</t>
  </si>
  <si>
    <t>02354</t>
  </si>
  <si>
    <t>VISCAYA PEDRO</t>
  </si>
  <si>
    <t>02341</t>
  </si>
  <si>
    <t>Elaborado Por:</t>
  </si>
  <si>
    <t xml:space="preserve">Recibido: (Firma y Sello) </t>
  </si>
  <si>
    <t>Yuris Reyes</t>
  </si>
  <si>
    <t>CAPPO-UCLA</t>
  </si>
  <si>
    <t>EMPLEADOS CAPPO UCLA</t>
  </si>
  <si>
    <t>Desde  1/11/12 Hasta: 10/11/12</t>
  </si>
  <si>
    <t>RODRIGUEZ AIDA</t>
  </si>
  <si>
    <t>00403</t>
  </si>
  <si>
    <t>519769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</si>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</sst>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;[Red]#,##0.00"/>
    <numFmt numFmtId="165" formatCode="#,##0;[Red]#,##0"/>
    <numFmt numFmtId="166" formatCode="_([$€-2]\ * #,##0.00_);_([$€-2]\ * \(#,##0.00\);_([$€-2]\ * &quot;-&quot;??_)"/>
    <numFmt numFmtId="167" formatCode="0.00;[Red]0.0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i/>
      <sz val="9"/>
      <name val="Arial"/>
      <family val="2"/>
    </font>
    <font>
      <sz val="10"/>
      <color indexed="18"/>
      <name val="Arial Black"/>
      <family val="2"/>
    </font>
    <font>
      <sz val="9"/>
      <color indexed="18"/>
      <name val="Arial Narrow"/>
      <family val="2"/>
    </font>
    <font>
      <b/>
      <sz val="9"/>
      <color indexed="18"/>
      <name val="Copperplate Gothic Light"/>
      <family val="2"/>
    </font>
    <font>
      <sz val="9"/>
      <color theme="1"/>
      <name val="Agency FB"/>
      <family val="2"/>
    </font>
    <font>
      <sz val="9"/>
      <name val="Agency FB"/>
      <family val="2"/>
    </font>
    <font>
      <b/>
      <sz val="9"/>
      <name val="Agency FB"/>
      <family val="2"/>
    </font>
    <font>
      <b/>
      <sz val="8"/>
      <name val="Arial Narrow"/>
      <family val="2"/>
    </font>
    <font>
      <b/>
      <sz val="9"/>
      <color theme="1"/>
      <name val="Agency FB"/>
      <family val="2"/>
    </font>
    <font>
      <sz val="8"/>
      <color theme="1"/>
      <name val="Agency FB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166" fontId="1" fillId="0" borderId="0" applyFont="0" applyFill="0" applyBorder="0" applyAlignment="0" applyProtection="0"/>
  </cellStyleXfs>
  <cellXfs count="82">
    <xf numFmtId="0" fontId="0" fillId="0" borderId="0" xfId="0"/>
    <xf numFmtId="0" fontId="1" fillId="0" borderId="0" xfId="1"/>
    <xf numFmtId="0" fontId="2" fillId="0" borderId="0" xfId="1" applyFont="1" applyAlignment="1"/>
    <xf numFmtId="164" fontId="5" fillId="0" borderId="0" xfId="1" applyNumberFormat="1" applyFont="1" applyAlignment="1">
      <alignment horizontal="right"/>
    </xf>
    <xf numFmtId="164" fontId="5" fillId="0" borderId="0" xfId="1" applyNumberFormat="1" applyFont="1" applyBorder="1"/>
    <xf numFmtId="164" fontId="2" fillId="0" borderId="0" xfId="1" applyNumberFormat="1" applyFont="1" applyAlignment="1">
      <alignment horizontal="right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right"/>
    </xf>
    <xf numFmtId="164" fontId="5" fillId="0" borderId="0" xfId="1" applyNumberFormat="1" applyFont="1" applyBorder="1" applyAlignment="1"/>
    <xf numFmtId="164" fontId="2" fillId="0" borderId="0" xfId="1" applyNumberFormat="1" applyFont="1"/>
    <xf numFmtId="165" fontId="5" fillId="0" borderId="7" xfId="1" applyNumberFormat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164" fontId="5" fillId="0" borderId="7" xfId="1" applyNumberFormat="1" applyFont="1" applyBorder="1" applyAlignment="1">
      <alignment horizontal="center"/>
    </xf>
    <xf numFmtId="164" fontId="5" fillId="0" borderId="0" xfId="1" applyNumberFormat="1" applyFont="1" applyBorder="1" applyAlignment="1">
      <alignment horizontal="right"/>
    </xf>
    <xf numFmtId="164" fontId="10" fillId="0" borderId="7" xfId="0" applyNumberFormat="1" applyFont="1" applyBorder="1"/>
    <xf numFmtId="165" fontId="11" fillId="0" borderId="7" xfId="1" applyNumberFormat="1" applyFont="1" applyBorder="1" applyAlignment="1">
      <alignment horizontal="right"/>
    </xf>
    <xf numFmtId="49" fontId="11" fillId="0" borderId="7" xfId="1" applyNumberFormat="1" applyFont="1" applyBorder="1" applyAlignment="1">
      <alignment horizontal="center"/>
    </xf>
    <xf numFmtId="164" fontId="11" fillId="0" borderId="7" xfId="1" applyNumberFormat="1" applyFont="1" applyBorder="1" applyAlignment="1">
      <alignment horizontal="right"/>
    </xf>
    <xf numFmtId="0" fontId="10" fillId="0" borderId="7" xfId="0" applyFont="1" applyBorder="1"/>
    <xf numFmtId="14" fontId="11" fillId="0" borderId="7" xfId="0" applyNumberFormat="1" applyFont="1" applyBorder="1"/>
    <xf numFmtId="49" fontId="10" fillId="0" borderId="7" xfId="0" applyNumberFormat="1" applyFont="1" applyBorder="1" applyAlignment="1">
      <alignment horizontal="center"/>
    </xf>
    <xf numFmtId="164" fontId="11" fillId="0" borderId="9" xfId="0" applyNumberFormat="1" applyFont="1" applyFill="1" applyBorder="1" applyAlignment="1">
      <alignment vertical="center"/>
    </xf>
    <xf numFmtId="164" fontId="11" fillId="0" borderId="0" xfId="0" applyNumberFormat="1" applyFont="1" applyFill="1" applyBorder="1" applyAlignment="1">
      <alignment vertical="center"/>
    </xf>
    <xf numFmtId="164" fontId="13" fillId="0" borderId="7" xfId="1" applyNumberFormat="1" applyFont="1" applyBorder="1" applyAlignment="1">
      <alignment horizontal="center"/>
    </xf>
    <xf numFmtId="0" fontId="10" fillId="0" borderId="0" xfId="0" applyFont="1"/>
    <xf numFmtId="164" fontId="11" fillId="0" borderId="6" xfId="0" applyNumberFormat="1" applyFont="1" applyFill="1" applyBorder="1" applyAlignment="1">
      <alignment vertical="center"/>
    </xf>
    <xf numFmtId="0" fontId="15" fillId="0" borderId="7" xfId="0" applyFont="1" applyBorder="1"/>
    <xf numFmtId="167" fontId="10" fillId="0" borderId="7" xfId="0" applyNumberFormat="1" applyFont="1" applyBorder="1"/>
    <xf numFmtId="0" fontId="1" fillId="0" borderId="0" xfId="1"/>
    <xf numFmtId="0" fontId="2" fillId="0" borderId="0" xfId="1" applyFont="1" applyAlignment="1"/>
    <xf numFmtId="164" fontId="2" fillId="0" borderId="0" xfId="1" applyNumberFormat="1" applyFont="1" applyAlignment="1">
      <alignment horizontal="right"/>
    </xf>
    <xf numFmtId="164" fontId="2" fillId="0" borderId="0" xfId="1" applyNumberFormat="1" applyFont="1"/>
    <xf numFmtId="165" fontId="5" fillId="0" borderId="7" xfId="1" applyNumberFormat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164" fontId="5" fillId="0" borderId="7" xfId="1" applyNumberFormat="1" applyFont="1" applyBorder="1" applyAlignment="1">
      <alignment horizontal="center"/>
    </xf>
    <xf numFmtId="164" fontId="10" fillId="0" borderId="7" xfId="0" applyNumberFormat="1" applyFont="1" applyBorder="1"/>
    <xf numFmtId="165" fontId="11" fillId="0" borderId="7" xfId="1" applyNumberFormat="1" applyFont="1" applyBorder="1" applyAlignment="1">
      <alignment horizontal="right"/>
    </xf>
    <xf numFmtId="49" fontId="11" fillId="0" borderId="7" xfId="1" applyNumberFormat="1" applyFont="1" applyBorder="1" applyAlignment="1">
      <alignment horizontal="center"/>
    </xf>
    <xf numFmtId="164" fontId="11" fillId="0" borderId="7" xfId="1" applyNumberFormat="1" applyFont="1" applyBorder="1" applyAlignment="1">
      <alignment horizontal="right"/>
    </xf>
    <xf numFmtId="0" fontId="10" fillId="0" borderId="7" xfId="0" applyFont="1" applyBorder="1"/>
    <xf numFmtId="14" fontId="11" fillId="0" borderId="7" xfId="0" applyNumberFormat="1" applyFont="1" applyBorder="1"/>
    <xf numFmtId="49" fontId="10" fillId="0" borderId="7" xfId="0" applyNumberFormat="1" applyFont="1" applyBorder="1" applyAlignment="1">
      <alignment horizontal="center"/>
    </xf>
    <xf numFmtId="164" fontId="12" fillId="0" borderId="0" xfId="1" applyNumberFormat="1" applyFont="1" applyBorder="1"/>
    <xf numFmtId="164" fontId="12" fillId="0" borderId="0" xfId="1" applyNumberFormat="1" applyFont="1" applyFill="1" applyBorder="1" applyAlignment="1">
      <alignment horizontal="right"/>
    </xf>
    <xf numFmtId="164" fontId="12" fillId="0" borderId="0" xfId="1" applyNumberFormat="1" applyFont="1" applyBorder="1" applyAlignment="1">
      <alignment horizontal="right"/>
    </xf>
    <xf numFmtId="164" fontId="11" fillId="0" borderId="9" xfId="0" applyNumberFormat="1" applyFont="1" applyFill="1" applyBorder="1" applyAlignment="1">
      <alignment vertical="center"/>
    </xf>
    <xf numFmtId="164" fontId="13" fillId="0" borderId="7" xfId="1" applyNumberFormat="1" applyFont="1" applyBorder="1" applyAlignment="1">
      <alignment horizontal="center"/>
    </xf>
    <xf numFmtId="0" fontId="1" fillId="0" borderId="0" xfId="1" applyBorder="1"/>
    <xf numFmtId="164" fontId="5" fillId="0" borderId="0" xfId="1" applyNumberFormat="1" applyFont="1" applyBorder="1" applyAlignment="1">
      <alignment horizontal="center"/>
    </xf>
    <xf numFmtId="164" fontId="14" fillId="0" borderId="0" xfId="0" applyNumberFormat="1" applyFont="1" applyBorder="1"/>
    <xf numFmtId="164" fontId="11" fillId="0" borderId="12" xfId="0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165" fontId="4" fillId="0" borderId="10" xfId="1" applyNumberFormat="1" applyFont="1" applyBorder="1" applyAlignment="1">
      <alignment horizontal="center"/>
    </xf>
    <xf numFmtId="165" fontId="4" fillId="0" borderId="2" xfId="1" applyNumberFormat="1" applyFont="1" applyBorder="1" applyAlignment="1">
      <alignment horizontal="center"/>
    </xf>
    <xf numFmtId="0" fontId="7" fillId="0" borderId="0" xfId="1" applyFont="1" applyBorder="1" applyAlignment="1">
      <alignment horizontal="center"/>
    </xf>
    <xf numFmtId="164" fontId="5" fillId="0" borderId="7" xfId="1" applyNumberFormat="1" applyFont="1" applyFill="1" applyBorder="1" applyAlignment="1">
      <alignment horizontal="center"/>
    </xf>
    <xf numFmtId="0" fontId="9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49" fontId="6" fillId="0" borderId="0" xfId="1" applyNumberFormat="1" applyFont="1" applyAlignment="1">
      <alignment horizontal="center"/>
    </xf>
    <xf numFmtId="0" fontId="6" fillId="0" borderId="8" xfId="1" applyFont="1" applyBorder="1" applyAlignment="1">
      <alignment horizontal="center"/>
    </xf>
    <xf numFmtId="165" fontId="2" fillId="0" borderId="5" xfId="1" applyNumberFormat="1" applyFont="1" applyBorder="1" applyAlignment="1">
      <alignment horizontal="center"/>
    </xf>
    <xf numFmtId="165" fontId="2" fillId="0" borderId="11" xfId="1" applyNumberFormat="1" applyFont="1" applyBorder="1" applyAlignment="1">
      <alignment horizontal="center"/>
    </xf>
    <xf numFmtId="165" fontId="2" fillId="0" borderId="6" xfId="1" applyNumberFormat="1" applyFont="1" applyBorder="1" applyAlignment="1">
      <alignment horizontal="center"/>
    </xf>
    <xf numFmtId="165" fontId="2" fillId="0" borderId="3" xfId="1" applyNumberFormat="1" applyFont="1" applyBorder="1" applyAlignment="1">
      <alignment horizontal="center"/>
    </xf>
    <xf numFmtId="165" fontId="2" fillId="0" borderId="8" xfId="1" applyNumberFormat="1" applyFont="1" applyBorder="1" applyAlignment="1">
      <alignment horizontal="center"/>
    </xf>
    <xf numFmtId="165" fontId="2" fillId="0" borderId="4" xfId="1" applyNumberFormat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165" fontId="5" fillId="0" borderId="10" xfId="1" applyNumberFormat="1" applyFont="1" applyBorder="1" applyAlignment="1">
      <alignment horizontal="center"/>
    </xf>
    <xf numFmtId="165" fontId="5" fillId="0" borderId="2" xfId="1" applyNumberFormat="1" applyFont="1" applyBorder="1" applyAlignment="1">
      <alignment horizontal="center"/>
    </xf>
    <xf numFmtId="0" fontId="6" fillId="0" borderId="0" xfId="1" applyFont="1" applyBorder="1" applyAlignment="1">
      <alignment horizontal="center"/>
    </xf>
  </cellXfs>
  <cellStyles count="3">
    <cellStyle name="Euro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94"/>
  <sheetViews>
    <sheetView workbookViewId="0">
      <selection activeCell="A8" sqref="A8"/>
    </sheetView>
  </sheetViews>
  <sheetFormatPr baseColWidth="10" defaultRowHeight="15" x14ac:dyDescent="0.25"/>
  <cols>
    <col min="1" max="1" width="8.5703125" customWidth="1"/>
  </cols>
  <sheetData>
    <row r="2" spans="1:12" ht="16.149999999999999" x14ac:dyDescent="0.4">
      <c r="A2" s="57" t="s">
        <v>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ht="14.45" x14ac:dyDescent="0.3">
      <c r="A3" s="59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spans="1:12" ht="14.45" x14ac:dyDescent="0.3">
      <c r="A4" s="60" t="s">
        <v>2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</row>
    <row r="5" spans="1:12" x14ac:dyDescent="0.25">
      <c r="A5" s="61" t="s">
        <v>3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</row>
    <row r="6" spans="1:12" ht="14.45" x14ac:dyDescent="0.3">
      <c r="A6" s="62" t="s">
        <v>4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</row>
    <row r="7" spans="1:12" ht="14.45" x14ac:dyDescent="0.3">
      <c r="A7" s="63" t="s">
        <v>5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</row>
    <row r="8" spans="1:12" x14ac:dyDescent="0.25">
      <c r="A8" s="11" t="s">
        <v>6</v>
      </c>
      <c r="B8" s="11" t="s">
        <v>7</v>
      </c>
      <c r="C8" s="10" t="s">
        <v>8</v>
      </c>
      <c r="D8" s="10" t="s">
        <v>9</v>
      </c>
      <c r="E8" s="11" t="s">
        <v>10</v>
      </c>
      <c r="F8" s="12" t="s">
        <v>11</v>
      </c>
      <c r="G8" s="12" t="s">
        <v>12</v>
      </c>
      <c r="H8" s="58" t="s">
        <v>13</v>
      </c>
      <c r="I8" s="58"/>
      <c r="J8" s="23" t="s">
        <v>14</v>
      </c>
      <c r="K8" s="12" t="s">
        <v>15</v>
      </c>
      <c r="L8" s="12" t="s">
        <v>16</v>
      </c>
    </row>
    <row r="9" spans="1:12" ht="14.45" x14ac:dyDescent="0.3">
      <c r="A9" s="19">
        <v>41214</v>
      </c>
      <c r="B9" s="18" t="s">
        <v>17</v>
      </c>
      <c r="C9" s="15">
        <v>2186056</v>
      </c>
      <c r="D9" s="16" t="s">
        <v>18</v>
      </c>
      <c r="E9" s="20">
        <v>519774</v>
      </c>
      <c r="F9" s="14">
        <v>70</v>
      </c>
      <c r="G9" s="14">
        <v>14</v>
      </c>
      <c r="H9" s="14">
        <v>56</v>
      </c>
      <c r="I9" s="25"/>
      <c r="J9" s="17">
        <f>H9*5%</f>
        <v>2.8000000000000003</v>
      </c>
      <c r="K9" s="14">
        <v>0</v>
      </c>
      <c r="L9" s="17">
        <v>53.2</v>
      </c>
    </row>
    <row r="10" spans="1:12" x14ac:dyDescent="0.25">
      <c r="A10" s="19">
        <v>41214</v>
      </c>
      <c r="B10" s="18" t="s">
        <v>19</v>
      </c>
      <c r="C10" s="15">
        <v>7419740</v>
      </c>
      <c r="D10" s="16" t="s">
        <v>20</v>
      </c>
      <c r="E10" s="20">
        <v>519418</v>
      </c>
      <c r="F10" s="14">
        <v>404.65</v>
      </c>
      <c r="G10" s="14">
        <v>79.75</v>
      </c>
      <c r="H10" s="14">
        <v>324.89999999999998</v>
      </c>
      <c r="I10" s="50">
        <v>2396.5600000000004</v>
      </c>
      <c r="J10" s="17">
        <f t="shared" ref="J10:J73" si="0">H10*5%</f>
        <v>16.245000000000001</v>
      </c>
      <c r="K10" s="14">
        <v>0</v>
      </c>
      <c r="L10" s="17">
        <v>308.65499999999997</v>
      </c>
    </row>
    <row r="11" spans="1:12" x14ac:dyDescent="0.25">
      <c r="A11" s="19">
        <v>41214</v>
      </c>
      <c r="B11" s="18" t="s">
        <v>19</v>
      </c>
      <c r="C11" s="15">
        <v>7419740</v>
      </c>
      <c r="D11" s="16" t="s">
        <v>20</v>
      </c>
      <c r="E11" s="20">
        <v>519760</v>
      </c>
      <c r="F11" s="14">
        <v>1168.0899999999999</v>
      </c>
      <c r="G11" s="14">
        <v>233.61</v>
      </c>
      <c r="H11" s="14">
        <v>934.48</v>
      </c>
      <c r="I11" s="50"/>
      <c r="J11" s="17">
        <f t="shared" si="0"/>
        <v>46.724000000000004</v>
      </c>
      <c r="K11" s="14">
        <v>0</v>
      </c>
      <c r="L11" s="17">
        <v>887.75599999999997</v>
      </c>
    </row>
    <row r="12" spans="1:12" x14ac:dyDescent="0.25">
      <c r="A12" s="19">
        <v>41214</v>
      </c>
      <c r="B12" s="18" t="s">
        <v>19</v>
      </c>
      <c r="C12" s="15">
        <v>7419740</v>
      </c>
      <c r="D12" s="16" t="s">
        <v>20</v>
      </c>
      <c r="E12" s="20">
        <v>519761</v>
      </c>
      <c r="F12" s="14">
        <v>1220.77</v>
      </c>
      <c r="G12" s="14">
        <v>235.39</v>
      </c>
      <c r="H12" s="14">
        <v>985.38</v>
      </c>
      <c r="I12" s="50"/>
      <c r="J12" s="17">
        <f t="shared" si="0"/>
        <v>49.269000000000005</v>
      </c>
      <c r="K12" s="14">
        <v>0</v>
      </c>
      <c r="L12" s="17">
        <v>936.11099999999999</v>
      </c>
    </row>
    <row r="13" spans="1:12" x14ac:dyDescent="0.25">
      <c r="A13" s="19">
        <v>41214</v>
      </c>
      <c r="B13" s="18" t="s">
        <v>19</v>
      </c>
      <c r="C13" s="15">
        <v>7419740</v>
      </c>
      <c r="D13" s="16" t="s">
        <v>20</v>
      </c>
      <c r="E13" s="20">
        <v>519762</v>
      </c>
      <c r="F13" s="14">
        <v>135.54</v>
      </c>
      <c r="G13" s="14">
        <v>0</v>
      </c>
      <c r="H13" s="14">
        <v>151.80000000000001</v>
      </c>
      <c r="I13" s="50"/>
      <c r="J13" s="17">
        <f t="shared" si="0"/>
        <v>7.5900000000000007</v>
      </c>
      <c r="K13" s="14">
        <v>16.260000000000002</v>
      </c>
      <c r="L13" s="17">
        <v>151.80000000000001</v>
      </c>
    </row>
    <row r="14" spans="1:12" x14ac:dyDescent="0.25">
      <c r="A14" s="19">
        <v>41214</v>
      </c>
      <c r="B14" s="18" t="s">
        <v>21</v>
      </c>
      <c r="C14" s="15">
        <v>12020535</v>
      </c>
      <c r="D14" s="16" t="s">
        <v>22</v>
      </c>
      <c r="E14" s="20">
        <v>519520</v>
      </c>
      <c r="F14" s="14">
        <v>377.56</v>
      </c>
      <c r="G14" s="14">
        <v>68.06</v>
      </c>
      <c r="H14" s="14">
        <v>309.5</v>
      </c>
      <c r="I14" s="50">
        <v>461.7</v>
      </c>
      <c r="J14" s="17">
        <f t="shared" si="0"/>
        <v>15.475000000000001</v>
      </c>
      <c r="K14" s="14">
        <v>0</v>
      </c>
      <c r="L14" s="17">
        <v>294.02499999999998</v>
      </c>
    </row>
    <row r="15" spans="1:12" x14ac:dyDescent="0.25">
      <c r="A15" s="19">
        <v>41214</v>
      </c>
      <c r="B15" s="18" t="s">
        <v>21</v>
      </c>
      <c r="C15" s="15">
        <v>12020535</v>
      </c>
      <c r="D15" s="16" t="s">
        <v>22</v>
      </c>
      <c r="E15" s="20">
        <v>519521</v>
      </c>
      <c r="F15" s="14">
        <v>187.9</v>
      </c>
      <c r="G15" s="14">
        <v>35.700000000000003</v>
      </c>
      <c r="H15" s="14">
        <v>152.19999999999999</v>
      </c>
      <c r="I15" s="50"/>
      <c r="J15" s="17">
        <f t="shared" si="0"/>
        <v>7.6099999999999994</v>
      </c>
      <c r="K15" s="14">
        <v>0</v>
      </c>
      <c r="L15" s="17">
        <v>144.58999999999997</v>
      </c>
    </row>
    <row r="16" spans="1:12" ht="14.45" x14ac:dyDescent="0.3">
      <c r="A16" s="19">
        <v>41214</v>
      </c>
      <c r="B16" s="18" t="s">
        <v>23</v>
      </c>
      <c r="C16" s="15">
        <v>12701301</v>
      </c>
      <c r="D16" s="16" t="s">
        <v>24</v>
      </c>
      <c r="E16" s="20">
        <v>519732</v>
      </c>
      <c r="F16" s="14">
        <v>377.39</v>
      </c>
      <c r="G16" s="14">
        <v>75.48</v>
      </c>
      <c r="H16" s="14">
        <v>301.91000000000003</v>
      </c>
      <c r="I16" s="21"/>
      <c r="J16" s="17">
        <f t="shared" si="0"/>
        <v>15.095500000000001</v>
      </c>
      <c r="K16" s="14">
        <v>0</v>
      </c>
      <c r="L16" s="17">
        <v>286.81450000000001</v>
      </c>
    </row>
    <row r="17" spans="1:12" x14ac:dyDescent="0.25">
      <c r="A17" s="19">
        <v>41214</v>
      </c>
      <c r="B17" s="18" t="s">
        <v>25</v>
      </c>
      <c r="C17" s="15">
        <v>7442445</v>
      </c>
      <c r="D17" s="16" t="s">
        <v>26</v>
      </c>
      <c r="E17" s="20">
        <v>519713</v>
      </c>
      <c r="F17" s="14">
        <v>215.69</v>
      </c>
      <c r="G17" s="14">
        <v>41.8</v>
      </c>
      <c r="H17" s="14">
        <v>173.89</v>
      </c>
      <c r="I17" s="50">
        <v>424.21999999999997</v>
      </c>
      <c r="J17" s="17">
        <f t="shared" si="0"/>
        <v>8.6944999999999997</v>
      </c>
      <c r="K17" s="14">
        <v>0</v>
      </c>
      <c r="L17" s="17">
        <v>165.19549999999998</v>
      </c>
    </row>
    <row r="18" spans="1:12" x14ac:dyDescent="0.25">
      <c r="A18" s="19">
        <v>41214</v>
      </c>
      <c r="B18" s="18" t="s">
        <v>25</v>
      </c>
      <c r="C18" s="15">
        <v>7442445</v>
      </c>
      <c r="D18" s="16" t="s">
        <v>26</v>
      </c>
      <c r="E18" s="20">
        <v>519714</v>
      </c>
      <c r="F18" s="14">
        <v>250.73</v>
      </c>
      <c r="G18" s="14">
        <v>38</v>
      </c>
      <c r="H18" s="14">
        <v>220.01</v>
      </c>
      <c r="I18" s="50"/>
      <c r="J18" s="17">
        <f t="shared" si="0"/>
        <v>11.000500000000001</v>
      </c>
      <c r="K18" s="14">
        <v>7.28</v>
      </c>
      <c r="L18" s="17">
        <v>209.0095</v>
      </c>
    </row>
    <row r="19" spans="1:12" x14ac:dyDescent="0.25">
      <c r="A19" s="19">
        <v>41214</v>
      </c>
      <c r="B19" s="18" t="s">
        <v>25</v>
      </c>
      <c r="C19" s="15">
        <v>7442445</v>
      </c>
      <c r="D19" s="16" t="s">
        <v>26</v>
      </c>
      <c r="E19" s="20">
        <v>519715</v>
      </c>
      <c r="F19" s="14">
        <v>29</v>
      </c>
      <c r="G19" s="14">
        <v>0</v>
      </c>
      <c r="H19" s="14">
        <v>30.32</v>
      </c>
      <c r="I19" s="50"/>
      <c r="J19" s="17">
        <f t="shared" si="0"/>
        <v>1.516</v>
      </c>
      <c r="K19" s="14">
        <v>1.32</v>
      </c>
      <c r="L19" s="17">
        <v>30.32</v>
      </c>
    </row>
    <row r="20" spans="1:12" x14ac:dyDescent="0.25">
      <c r="A20" s="19">
        <v>41214</v>
      </c>
      <c r="B20" s="18" t="s">
        <v>27</v>
      </c>
      <c r="C20" s="15">
        <v>12314254</v>
      </c>
      <c r="D20" s="16" t="s">
        <v>28</v>
      </c>
      <c r="E20" s="20">
        <v>519424</v>
      </c>
      <c r="F20" s="14">
        <v>379</v>
      </c>
      <c r="G20" s="14">
        <v>75.8</v>
      </c>
      <c r="H20" s="14">
        <v>303.2</v>
      </c>
      <c r="I20" s="21"/>
      <c r="J20" s="17">
        <f t="shared" si="0"/>
        <v>15.16</v>
      </c>
      <c r="K20" s="14">
        <v>0</v>
      </c>
      <c r="L20" s="17">
        <v>288.03999999999996</v>
      </c>
    </row>
    <row r="21" spans="1:12" x14ac:dyDescent="0.25">
      <c r="A21" s="19">
        <v>41214</v>
      </c>
      <c r="B21" s="18" t="s">
        <v>29</v>
      </c>
      <c r="C21" s="15">
        <v>10846532</v>
      </c>
      <c r="D21" s="16" t="s">
        <v>30</v>
      </c>
      <c r="E21" s="20">
        <v>519658</v>
      </c>
      <c r="F21" s="14">
        <v>740</v>
      </c>
      <c r="G21" s="14">
        <v>148</v>
      </c>
      <c r="H21" s="14">
        <v>592</v>
      </c>
      <c r="I21" s="21"/>
      <c r="J21" s="17">
        <f t="shared" si="0"/>
        <v>29.6</v>
      </c>
      <c r="K21" s="14">
        <v>0</v>
      </c>
      <c r="L21" s="17">
        <v>562.4</v>
      </c>
    </row>
    <row r="22" spans="1:12" x14ac:dyDescent="0.25">
      <c r="A22" s="19">
        <v>41214</v>
      </c>
      <c r="B22" s="18" t="s">
        <v>31</v>
      </c>
      <c r="C22" s="15">
        <v>7446644</v>
      </c>
      <c r="D22" s="16" t="s">
        <v>32</v>
      </c>
      <c r="E22" s="20">
        <v>519698</v>
      </c>
      <c r="F22" s="14">
        <v>588.25</v>
      </c>
      <c r="G22" s="14">
        <v>117</v>
      </c>
      <c r="H22" s="14">
        <v>471.25</v>
      </c>
      <c r="I22" s="50">
        <v>729.85</v>
      </c>
      <c r="J22" s="17">
        <f t="shared" si="0"/>
        <v>23.5625</v>
      </c>
      <c r="K22" s="14">
        <v>0</v>
      </c>
      <c r="L22" s="17">
        <v>447.6875</v>
      </c>
    </row>
    <row r="23" spans="1:12" x14ac:dyDescent="0.25">
      <c r="A23" s="19">
        <v>41215</v>
      </c>
      <c r="B23" s="18" t="s">
        <v>31</v>
      </c>
      <c r="C23" s="15">
        <v>7446644</v>
      </c>
      <c r="D23" s="16" t="s">
        <v>32</v>
      </c>
      <c r="E23" s="20">
        <v>519527</v>
      </c>
      <c r="F23" s="14">
        <v>314.75</v>
      </c>
      <c r="G23" s="14">
        <v>57.8</v>
      </c>
      <c r="H23" s="14">
        <v>258.60000000000002</v>
      </c>
      <c r="I23" s="50"/>
      <c r="J23" s="17">
        <f t="shared" si="0"/>
        <v>12.930000000000001</v>
      </c>
      <c r="K23" s="14">
        <v>1.65</v>
      </c>
      <c r="L23" s="17">
        <v>245.67000000000002</v>
      </c>
    </row>
    <row r="24" spans="1:12" x14ac:dyDescent="0.25">
      <c r="A24" s="19">
        <v>41215</v>
      </c>
      <c r="B24" s="18" t="s">
        <v>33</v>
      </c>
      <c r="C24" s="15">
        <v>9609337</v>
      </c>
      <c r="D24" s="16" t="s">
        <v>34</v>
      </c>
      <c r="E24" s="20">
        <v>519441</v>
      </c>
      <c r="F24" s="14">
        <v>143.44</v>
      </c>
      <c r="G24" s="14">
        <v>23</v>
      </c>
      <c r="H24" s="14">
        <v>120.44</v>
      </c>
      <c r="I24" s="50">
        <v>717.38000000000011</v>
      </c>
      <c r="J24" s="17">
        <f t="shared" si="0"/>
        <v>6.0220000000000002</v>
      </c>
      <c r="K24" s="14">
        <v>0</v>
      </c>
      <c r="L24" s="17">
        <v>114.41799999999999</v>
      </c>
    </row>
    <row r="25" spans="1:12" x14ac:dyDescent="0.25">
      <c r="A25" s="19">
        <v>41215</v>
      </c>
      <c r="B25" s="18" t="s">
        <v>33</v>
      </c>
      <c r="C25" s="15">
        <v>9609337</v>
      </c>
      <c r="D25" s="16" t="s">
        <v>34</v>
      </c>
      <c r="E25" s="20">
        <v>519554</v>
      </c>
      <c r="F25" s="14">
        <v>737.94</v>
      </c>
      <c r="G25" s="14">
        <v>141</v>
      </c>
      <c r="H25" s="14">
        <v>596.94000000000005</v>
      </c>
      <c r="I25" s="50"/>
      <c r="J25" s="17">
        <f t="shared" si="0"/>
        <v>29.847000000000005</v>
      </c>
      <c r="K25" s="14">
        <v>0</v>
      </c>
      <c r="L25" s="17">
        <v>567.09300000000007</v>
      </c>
    </row>
    <row r="26" spans="1:12" x14ac:dyDescent="0.25">
      <c r="A26" s="19">
        <v>41215</v>
      </c>
      <c r="B26" s="18" t="s">
        <v>35</v>
      </c>
      <c r="C26" s="15">
        <v>9544345</v>
      </c>
      <c r="D26" s="16" t="s">
        <v>36</v>
      </c>
      <c r="E26" s="20">
        <v>519770</v>
      </c>
      <c r="F26" s="14">
        <v>97.38</v>
      </c>
      <c r="G26" s="14">
        <v>0</v>
      </c>
      <c r="H26" s="14">
        <v>101.58</v>
      </c>
      <c r="I26" s="21"/>
      <c r="J26" s="17">
        <f t="shared" si="0"/>
        <v>5.0790000000000006</v>
      </c>
      <c r="K26" s="14">
        <v>4.2</v>
      </c>
      <c r="L26" s="17">
        <v>101.58</v>
      </c>
    </row>
    <row r="27" spans="1:12" x14ac:dyDescent="0.25">
      <c r="A27" s="19">
        <v>41215</v>
      </c>
      <c r="B27" s="18" t="s">
        <v>37</v>
      </c>
      <c r="C27" s="15">
        <v>4727740</v>
      </c>
      <c r="D27" s="16" t="s">
        <v>38</v>
      </c>
      <c r="E27" s="20">
        <v>519676</v>
      </c>
      <c r="F27" s="14">
        <v>187.19</v>
      </c>
      <c r="G27" s="14">
        <v>0</v>
      </c>
      <c r="H27" s="14">
        <v>194.99</v>
      </c>
      <c r="I27" s="21"/>
      <c r="J27" s="17">
        <f t="shared" si="0"/>
        <v>9.7495000000000012</v>
      </c>
      <c r="K27" s="14">
        <v>7.8</v>
      </c>
      <c r="L27" s="17">
        <v>194.99</v>
      </c>
    </row>
    <row r="28" spans="1:12" x14ac:dyDescent="0.25">
      <c r="A28" s="19">
        <v>41215</v>
      </c>
      <c r="B28" s="18" t="s">
        <v>39</v>
      </c>
      <c r="C28" s="15">
        <v>11594236</v>
      </c>
      <c r="D28" s="16" t="s">
        <v>40</v>
      </c>
      <c r="E28" s="20">
        <v>519480</v>
      </c>
      <c r="F28" s="14">
        <v>633</v>
      </c>
      <c r="G28" s="14">
        <v>126.6</v>
      </c>
      <c r="H28" s="14">
        <v>506.4</v>
      </c>
      <c r="I28" s="21"/>
      <c r="J28" s="17">
        <f t="shared" si="0"/>
        <v>25.32</v>
      </c>
      <c r="K28" s="14">
        <v>0</v>
      </c>
      <c r="L28" s="17">
        <v>481.08</v>
      </c>
    </row>
    <row r="29" spans="1:12" x14ac:dyDescent="0.25">
      <c r="A29" s="19">
        <v>41215</v>
      </c>
      <c r="B29" s="18" t="s">
        <v>41</v>
      </c>
      <c r="C29" s="15">
        <v>12023306</v>
      </c>
      <c r="D29" s="16" t="s">
        <v>42</v>
      </c>
      <c r="E29" s="20">
        <v>519420</v>
      </c>
      <c r="F29" s="14">
        <v>910</v>
      </c>
      <c r="G29" s="14">
        <v>182</v>
      </c>
      <c r="H29" s="14">
        <v>728</v>
      </c>
      <c r="I29" s="21"/>
      <c r="J29" s="17">
        <f t="shared" si="0"/>
        <v>36.4</v>
      </c>
      <c r="K29" s="14">
        <v>0</v>
      </c>
      <c r="L29" s="17">
        <v>691.6</v>
      </c>
    </row>
    <row r="30" spans="1:12" x14ac:dyDescent="0.25">
      <c r="A30" s="19">
        <v>41216</v>
      </c>
      <c r="B30" s="18" t="s">
        <v>43</v>
      </c>
      <c r="C30" s="15">
        <v>3963688</v>
      </c>
      <c r="D30" s="16" t="s">
        <v>44</v>
      </c>
      <c r="E30" s="20">
        <v>519621</v>
      </c>
      <c r="F30" s="14">
        <v>131</v>
      </c>
      <c r="G30" s="14">
        <v>26.2</v>
      </c>
      <c r="H30" s="14">
        <v>104.8</v>
      </c>
      <c r="I30" s="50">
        <v>543.53</v>
      </c>
      <c r="J30" s="17">
        <f t="shared" si="0"/>
        <v>5.24</v>
      </c>
      <c r="K30" s="14">
        <v>0</v>
      </c>
      <c r="L30" s="17">
        <v>99.56</v>
      </c>
    </row>
    <row r="31" spans="1:12" x14ac:dyDescent="0.25">
      <c r="A31" s="19">
        <v>41216</v>
      </c>
      <c r="B31" s="18" t="s">
        <v>43</v>
      </c>
      <c r="C31" s="15">
        <v>3963688</v>
      </c>
      <c r="D31" s="16" t="s">
        <v>44</v>
      </c>
      <c r="E31" s="20">
        <v>519625</v>
      </c>
      <c r="F31" s="14">
        <v>548.41</v>
      </c>
      <c r="G31" s="14">
        <v>109.68</v>
      </c>
      <c r="H31" s="14">
        <v>438.73</v>
      </c>
      <c r="I31" s="50"/>
      <c r="J31" s="17">
        <f t="shared" si="0"/>
        <v>21.936500000000002</v>
      </c>
      <c r="K31" s="14">
        <v>0</v>
      </c>
      <c r="L31" s="17">
        <v>416.79349999999999</v>
      </c>
    </row>
    <row r="32" spans="1:12" x14ac:dyDescent="0.25">
      <c r="A32" s="19">
        <v>41216</v>
      </c>
      <c r="B32" s="18" t="s">
        <v>45</v>
      </c>
      <c r="C32" s="15">
        <v>3857667</v>
      </c>
      <c r="D32" s="16" t="s">
        <v>46</v>
      </c>
      <c r="E32" s="20">
        <v>519651</v>
      </c>
      <c r="F32" s="14">
        <v>168</v>
      </c>
      <c r="G32" s="14">
        <v>33.6</v>
      </c>
      <c r="H32" s="14">
        <v>134.4</v>
      </c>
      <c r="I32" s="22"/>
      <c r="J32" s="17">
        <f t="shared" si="0"/>
        <v>6.7200000000000006</v>
      </c>
      <c r="K32" s="14">
        <v>0</v>
      </c>
      <c r="L32" s="17">
        <v>127.68</v>
      </c>
    </row>
    <row r="33" spans="1:12" x14ac:dyDescent="0.25">
      <c r="A33" s="19">
        <v>41216</v>
      </c>
      <c r="B33" s="18" t="s">
        <v>47</v>
      </c>
      <c r="C33" s="15">
        <v>12704927</v>
      </c>
      <c r="D33" s="16" t="s">
        <v>48</v>
      </c>
      <c r="E33" s="20">
        <v>519602</v>
      </c>
      <c r="F33" s="14">
        <v>311.55</v>
      </c>
      <c r="G33" s="14">
        <v>62.31</v>
      </c>
      <c r="H33" s="14">
        <v>249.24</v>
      </c>
      <c r="I33" s="21"/>
      <c r="J33" s="17">
        <f t="shared" si="0"/>
        <v>12.462000000000002</v>
      </c>
      <c r="K33" s="14">
        <v>0</v>
      </c>
      <c r="L33" s="17">
        <v>236.77800000000002</v>
      </c>
    </row>
    <row r="34" spans="1:12" x14ac:dyDescent="0.25">
      <c r="A34" s="19">
        <v>40913</v>
      </c>
      <c r="B34" s="18" t="s">
        <v>49</v>
      </c>
      <c r="C34" s="15">
        <v>10849907</v>
      </c>
      <c r="D34" s="16" t="s">
        <v>50</v>
      </c>
      <c r="E34" s="20">
        <v>519427</v>
      </c>
      <c r="F34" s="14">
        <v>512.65</v>
      </c>
      <c r="G34" s="14">
        <v>102.53</v>
      </c>
      <c r="H34" s="14">
        <v>410.12</v>
      </c>
      <c r="I34" s="21"/>
      <c r="J34" s="17">
        <f t="shared" si="0"/>
        <v>20.506</v>
      </c>
      <c r="K34" s="14">
        <v>0</v>
      </c>
      <c r="L34" s="17">
        <v>389.61400000000003</v>
      </c>
    </row>
    <row r="35" spans="1:12" x14ac:dyDescent="0.25">
      <c r="A35" s="19">
        <v>40913</v>
      </c>
      <c r="B35" s="18" t="s">
        <v>51</v>
      </c>
      <c r="C35" s="15">
        <v>9615964</v>
      </c>
      <c r="D35" s="16" t="s">
        <v>52</v>
      </c>
      <c r="E35" s="20">
        <v>519667</v>
      </c>
      <c r="F35" s="14">
        <v>1090.6199999999999</v>
      </c>
      <c r="G35" s="14">
        <v>207.84</v>
      </c>
      <c r="H35" s="14">
        <v>882.78</v>
      </c>
      <c r="I35" s="50">
        <v>1544.51</v>
      </c>
      <c r="J35" s="17">
        <f t="shared" si="0"/>
        <v>44.139000000000003</v>
      </c>
      <c r="K35" s="14">
        <v>0</v>
      </c>
      <c r="L35" s="17">
        <v>838.64099999999996</v>
      </c>
    </row>
    <row r="36" spans="1:12" x14ac:dyDescent="0.25">
      <c r="A36" s="19">
        <v>40913</v>
      </c>
      <c r="B36" s="18" t="s">
        <v>51</v>
      </c>
      <c r="C36" s="15">
        <v>9615964</v>
      </c>
      <c r="D36" s="16" t="s">
        <v>52</v>
      </c>
      <c r="E36" s="20">
        <v>519668</v>
      </c>
      <c r="F36" s="14">
        <v>396.19</v>
      </c>
      <c r="G36" s="14">
        <v>66.239999999999995</v>
      </c>
      <c r="H36" s="14">
        <v>337.75</v>
      </c>
      <c r="I36" s="50"/>
      <c r="J36" s="17">
        <f t="shared" si="0"/>
        <v>16.887499999999999</v>
      </c>
      <c r="K36" s="14">
        <v>7.8</v>
      </c>
      <c r="L36" s="17">
        <v>320.86250000000001</v>
      </c>
    </row>
    <row r="37" spans="1:12" x14ac:dyDescent="0.25">
      <c r="A37" s="19">
        <v>40913</v>
      </c>
      <c r="B37" s="18" t="s">
        <v>51</v>
      </c>
      <c r="C37" s="15">
        <v>9615964</v>
      </c>
      <c r="D37" s="16" t="s">
        <v>52</v>
      </c>
      <c r="E37" s="20">
        <v>519669</v>
      </c>
      <c r="F37" s="14">
        <v>312.13</v>
      </c>
      <c r="G37" s="14">
        <v>46</v>
      </c>
      <c r="H37" s="14">
        <v>274.89</v>
      </c>
      <c r="I37" s="50"/>
      <c r="J37" s="17">
        <f t="shared" si="0"/>
        <v>13.7445</v>
      </c>
      <c r="K37" s="14">
        <v>8.76</v>
      </c>
      <c r="L37" s="17">
        <v>261.14549999999997</v>
      </c>
    </row>
    <row r="38" spans="1:12" x14ac:dyDescent="0.25">
      <c r="A38" s="19">
        <v>40913</v>
      </c>
      <c r="B38" s="18" t="s">
        <v>51</v>
      </c>
      <c r="C38" s="15">
        <v>9615964</v>
      </c>
      <c r="D38" s="16" t="s">
        <v>52</v>
      </c>
      <c r="E38" s="20">
        <v>519670</v>
      </c>
      <c r="F38" s="14">
        <v>49.09</v>
      </c>
      <c r="G38" s="14">
        <v>0</v>
      </c>
      <c r="H38" s="14">
        <v>49.09</v>
      </c>
      <c r="I38" s="50"/>
      <c r="J38" s="17">
        <f t="shared" si="0"/>
        <v>2.4545000000000003</v>
      </c>
      <c r="K38" s="14">
        <v>0</v>
      </c>
      <c r="L38" s="17">
        <v>49.09</v>
      </c>
    </row>
    <row r="39" spans="1:12" x14ac:dyDescent="0.25">
      <c r="A39" s="19">
        <v>41219</v>
      </c>
      <c r="B39" s="18" t="s">
        <v>53</v>
      </c>
      <c r="C39" s="15">
        <v>7391472</v>
      </c>
      <c r="D39" s="16" t="s">
        <v>54</v>
      </c>
      <c r="E39" s="20">
        <v>519754</v>
      </c>
      <c r="F39" s="14">
        <v>205.99</v>
      </c>
      <c r="G39" s="14">
        <v>26</v>
      </c>
      <c r="H39" s="14">
        <v>189.11</v>
      </c>
      <c r="I39" s="21"/>
      <c r="J39" s="17">
        <f t="shared" si="0"/>
        <v>9.4555000000000007</v>
      </c>
      <c r="K39" s="14">
        <v>9.1199999999999992</v>
      </c>
      <c r="L39" s="17">
        <v>179.65450000000001</v>
      </c>
    </row>
    <row r="40" spans="1:12" x14ac:dyDescent="0.25">
      <c r="A40" s="19">
        <v>41219</v>
      </c>
      <c r="B40" s="18" t="s">
        <v>55</v>
      </c>
      <c r="C40" s="15">
        <v>7426046</v>
      </c>
      <c r="D40" s="16" t="s">
        <v>56</v>
      </c>
      <c r="E40" s="20">
        <v>519426</v>
      </c>
      <c r="F40" s="14">
        <v>270</v>
      </c>
      <c r="G40" s="14">
        <v>54</v>
      </c>
      <c r="H40" s="14">
        <v>216</v>
      </c>
      <c r="I40" s="22"/>
      <c r="J40" s="17">
        <f t="shared" si="0"/>
        <v>10.8</v>
      </c>
      <c r="K40" s="14">
        <v>0</v>
      </c>
      <c r="L40" s="17">
        <v>205.2</v>
      </c>
    </row>
    <row r="41" spans="1:12" x14ac:dyDescent="0.25">
      <c r="A41" s="19">
        <v>41219</v>
      </c>
      <c r="B41" s="18" t="s">
        <v>57</v>
      </c>
      <c r="C41" s="15">
        <v>7309375</v>
      </c>
      <c r="D41" s="16" t="s">
        <v>58</v>
      </c>
      <c r="E41" s="20">
        <v>519816</v>
      </c>
      <c r="F41" s="27">
        <v>200</v>
      </c>
      <c r="G41" s="27">
        <v>40</v>
      </c>
      <c r="H41" s="27">
        <v>160</v>
      </c>
      <c r="I41" s="50">
        <v>240.11</v>
      </c>
      <c r="J41" s="17">
        <f t="shared" si="0"/>
        <v>8</v>
      </c>
      <c r="K41" s="14">
        <v>0</v>
      </c>
      <c r="L41" s="17">
        <v>152</v>
      </c>
    </row>
    <row r="42" spans="1:12" x14ac:dyDescent="0.25">
      <c r="A42" s="19">
        <v>41219</v>
      </c>
      <c r="B42" s="18" t="s">
        <v>57</v>
      </c>
      <c r="C42" s="15">
        <v>7309375</v>
      </c>
      <c r="D42" s="16" t="s">
        <v>58</v>
      </c>
      <c r="E42" s="20">
        <v>519826</v>
      </c>
      <c r="F42" s="27">
        <v>100.14</v>
      </c>
      <c r="G42" s="27">
        <v>20.03</v>
      </c>
      <c r="H42" s="27">
        <v>80.11</v>
      </c>
      <c r="I42" s="50"/>
      <c r="J42" s="17">
        <f t="shared" si="0"/>
        <v>4.0055000000000005</v>
      </c>
      <c r="K42" s="14">
        <v>0</v>
      </c>
      <c r="L42" s="17">
        <v>76.104500000000002</v>
      </c>
    </row>
    <row r="43" spans="1:12" x14ac:dyDescent="0.25">
      <c r="A43" s="19">
        <v>41219</v>
      </c>
      <c r="B43" s="18" t="s">
        <v>59</v>
      </c>
      <c r="C43" s="15">
        <v>1239070</v>
      </c>
      <c r="D43" s="16" t="s">
        <v>60</v>
      </c>
      <c r="E43" s="20">
        <v>519464</v>
      </c>
      <c r="F43" s="14">
        <v>209.22</v>
      </c>
      <c r="G43" s="14">
        <v>37.17</v>
      </c>
      <c r="H43" s="14">
        <v>172.69</v>
      </c>
      <c r="I43" s="21"/>
      <c r="J43" s="17">
        <f t="shared" si="0"/>
        <v>8.634500000000001</v>
      </c>
      <c r="K43" s="14">
        <v>0.64</v>
      </c>
      <c r="L43" s="17">
        <v>164.05549999999999</v>
      </c>
    </row>
    <row r="44" spans="1:12" x14ac:dyDescent="0.25">
      <c r="A44" s="19">
        <v>41219</v>
      </c>
      <c r="B44" s="18" t="s">
        <v>61</v>
      </c>
      <c r="C44" s="15">
        <v>7415285</v>
      </c>
      <c r="D44" s="16" t="s">
        <v>62</v>
      </c>
      <c r="E44" s="20">
        <v>519600</v>
      </c>
      <c r="F44" s="14">
        <v>1045.73</v>
      </c>
      <c r="G44" s="14">
        <v>209.15</v>
      </c>
      <c r="H44" s="14">
        <v>836.58</v>
      </c>
      <c r="I44" s="21"/>
      <c r="J44" s="17">
        <f t="shared" si="0"/>
        <v>41.829000000000008</v>
      </c>
      <c r="K44" s="14">
        <v>0</v>
      </c>
      <c r="L44" s="17">
        <v>794.75099999999998</v>
      </c>
    </row>
    <row r="45" spans="1:12" x14ac:dyDescent="0.25">
      <c r="A45" s="19">
        <v>41219</v>
      </c>
      <c r="B45" s="18" t="s">
        <v>63</v>
      </c>
      <c r="C45" s="15">
        <v>13188137</v>
      </c>
      <c r="D45" s="16" t="s">
        <v>64</v>
      </c>
      <c r="E45" s="20">
        <v>519724</v>
      </c>
      <c r="F45" s="14">
        <v>522.62</v>
      </c>
      <c r="G45" s="14">
        <v>88.28</v>
      </c>
      <c r="H45" s="14">
        <v>444.09</v>
      </c>
      <c r="I45" s="21"/>
      <c r="J45" s="17">
        <f t="shared" si="0"/>
        <v>22.204499999999999</v>
      </c>
      <c r="K45" s="14">
        <v>9.75</v>
      </c>
      <c r="L45" s="17">
        <v>421.88549999999998</v>
      </c>
    </row>
    <row r="46" spans="1:12" x14ac:dyDescent="0.25">
      <c r="A46" s="19">
        <v>41219</v>
      </c>
      <c r="B46" s="18" t="s">
        <v>65</v>
      </c>
      <c r="C46" s="15">
        <v>9614364</v>
      </c>
      <c r="D46" s="16" t="s">
        <v>66</v>
      </c>
      <c r="E46" s="20">
        <v>519735</v>
      </c>
      <c r="F46" s="14">
        <v>170</v>
      </c>
      <c r="G46" s="14">
        <v>34</v>
      </c>
      <c r="H46" s="14">
        <v>136</v>
      </c>
      <c r="I46" s="21"/>
      <c r="J46" s="17">
        <f t="shared" si="0"/>
        <v>6.8000000000000007</v>
      </c>
      <c r="K46" s="14">
        <v>0</v>
      </c>
      <c r="L46" s="17">
        <v>129.19999999999999</v>
      </c>
    </row>
    <row r="47" spans="1:12" x14ac:dyDescent="0.25">
      <c r="A47" s="19">
        <v>41219</v>
      </c>
      <c r="B47" s="18" t="s">
        <v>67</v>
      </c>
      <c r="C47" s="15">
        <v>4731494</v>
      </c>
      <c r="D47" s="16" t="s">
        <v>68</v>
      </c>
      <c r="E47" s="20">
        <v>519433</v>
      </c>
      <c r="F47" s="14">
        <v>168</v>
      </c>
      <c r="G47" s="14">
        <v>33.6</v>
      </c>
      <c r="H47" s="14">
        <v>134.4</v>
      </c>
      <c r="I47" s="50">
        <v>170.81</v>
      </c>
      <c r="J47" s="17">
        <f t="shared" si="0"/>
        <v>6.7200000000000006</v>
      </c>
      <c r="K47" s="14">
        <v>0</v>
      </c>
      <c r="L47" s="17">
        <v>127.68</v>
      </c>
    </row>
    <row r="48" spans="1:12" x14ac:dyDescent="0.25">
      <c r="A48" s="19">
        <v>41219</v>
      </c>
      <c r="B48" s="18" t="s">
        <v>67</v>
      </c>
      <c r="C48" s="15">
        <v>4731494</v>
      </c>
      <c r="D48" s="16" t="s">
        <v>68</v>
      </c>
      <c r="E48" s="20">
        <v>519722</v>
      </c>
      <c r="F48" s="14">
        <v>44.04</v>
      </c>
      <c r="G48" s="14">
        <v>7.63</v>
      </c>
      <c r="H48" s="14">
        <v>36.409999999999997</v>
      </c>
      <c r="I48" s="50"/>
      <c r="J48" s="17">
        <f t="shared" si="0"/>
        <v>1.8205</v>
      </c>
      <c r="K48" s="14">
        <v>0</v>
      </c>
      <c r="L48" s="17">
        <v>34.589499999999994</v>
      </c>
    </row>
    <row r="49" spans="1:12" x14ac:dyDescent="0.25">
      <c r="A49" s="19">
        <v>41219</v>
      </c>
      <c r="B49" s="18" t="s">
        <v>69</v>
      </c>
      <c r="C49" s="15">
        <v>13843775</v>
      </c>
      <c r="D49" s="16" t="s">
        <v>70</v>
      </c>
      <c r="E49" s="20">
        <v>519455</v>
      </c>
      <c r="F49" s="14">
        <v>1417.23</v>
      </c>
      <c r="G49" s="14">
        <v>283.44</v>
      </c>
      <c r="H49" s="14">
        <v>1133.79</v>
      </c>
      <c r="I49" s="50">
        <v>1560.99</v>
      </c>
      <c r="J49" s="17">
        <f t="shared" si="0"/>
        <v>56.689500000000002</v>
      </c>
      <c r="K49" s="14">
        <v>0</v>
      </c>
      <c r="L49" s="17">
        <v>1077.1005</v>
      </c>
    </row>
    <row r="50" spans="1:12" x14ac:dyDescent="0.25">
      <c r="A50" s="19">
        <v>41220</v>
      </c>
      <c r="B50" s="18" t="s">
        <v>69</v>
      </c>
      <c r="C50" s="15">
        <v>13843775</v>
      </c>
      <c r="D50" s="16" t="s">
        <v>70</v>
      </c>
      <c r="E50" s="20">
        <v>519737</v>
      </c>
      <c r="F50" s="14">
        <v>534</v>
      </c>
      <c r="G50" s="14">
        <v>106.8</v>
      </c>
      <c r="H50" s="14">
        <v>427.2</v>
      </c>
      <c r="I50" s="50"/>
      <c r="J50" s="17">
        <f t="shared" si="0"/>
        <v>21.36</v>
      </c>
      <c r="K50" s="14">
        <v>0</v>
      </c>
      <c r="L50" s="17">
        <v>405.84</v>
      </c>
    </row>
    <row r="51" spans="1:12" x14ac:dyDescent="0.25">
      <c r="A51" s="19">
        <v>41220</v>
      </c>
      <c r="B51" s="18" t="s">
        <v>71</v>
      </c>
      <c r="C51" s="15">
        <v>13868786</v>
      </c>
      <c r="D51" s="16" t="s">
        <v>72</v>
      </c>
      <c r="E51" s="20">
        <v>519530</v>
      </c>
      <c r="F51" s="14">
        <v>416.77</v>
      </c>
      <c r="G51" s="14">
        <v>64.89</v>
      </c>
      <c r="H51" s="14">
        <v>361</v>
      </c>
      <c r="I51" s="21"/>
      <c r="J51" s="17">
        <f t="shared" si="0"/>
        <v>18.05</v>
      </c>
      <c r="K51" s="14">
        <v>9.1199999999999992</v>
      </c>
      <c r="L51" s="17">
        <v>342.95</v>
      </c>
    </row>
    <row r="52" spans="1:12" x14ac:dyDescent="0.25">
      <c r="A52" s="19">
        <v>41220</v>
      </c>
      <c r="B52" s="18" t="s">
        <v>73</v>
      </c>
      <c r="C52" s="15">
        <v>10772668</v>
      </c>
      <c r="D52" s="16" t="s">
        <v>74</v>
      </c>
      <c r="E52" s="20">
        <v>519790</v>
      </c>
      <c r="F52" s="14">
        <v>395.22</v>
      </c>
      <c r="G52" s="14">
        <v>72.040000000000006</v>
      </c>
      <c r="H52" s="14">
        <v>327.38</v>
      </c>
      <c r="I52" s="22"/>
      <c r="J52" s="17">
        <f t="shared" si="0"/>
        <v>16.369</v>
      </c>
      <c r="K52" s="14">
        <v>4.2</v>
      </c>
      <c r="L52" s="17">
        <v>311.01099999999997</v>
      </c>
    </row>
    <row r="53" spans="1:12" x14ac:dyDescent="0.25">
      <c r="A53" s="19">
        <v>41220</v>
      </c>
      <c r="B53" s="18" t="s">
        <v>75</v>
      </c>
      <c r="C53" s="15">
        <v>7401853</v>
      </c>
      <c r="D53" s="16" t="s">
        <v>76</v>
      </c>
      <c r="E53" s="20">
        <v>519818</v>
      </c>
      <c r="F53" s="27">
        <v>537.29</v>
      </c>
      <c r="G53" s="27">
        <v>106.4</v>
      </c>
      <c r="H53" s="27">
        <v>430.89</v>
      </c>
      <c r="I53" s="50">
        <v>980.2299999999999</v>
      </c>
      <c r="J53" s="17">
        <f t="shared" si="0"/>
        <v>21.544499999999999</v>
      </c>
      <c r="K53" s="14">
        <v>0</v>
      </c>
      <c r="L53" s="17">
        <v>409.34550000000002</v>
      </c>
    </row>
    <row r="54" spans="1:12" x14ac:dyDescent="0.25">
      <c r="A54" s="19">
        <v>41220</v>
      </c>
      <c r="B54" s="18" t="s">
        <v>75</v>
      </c>
      <c r="C54" s="15">
        <v>7401853</v>
      </c>
      <c r="D54" s="16" t="s">
        <v>76</v>
      </c>
      <c r="E54" s="20">
        <v>519819</v>
      </c>
      <c r="F54" s="27">
        <v>624.55999999999995</v>
      </c>
      <c r="G54" s="27">
        <v>95</v>
      </c>
      <c r="H54" s="27">
        <v>529.55999999999995</v>
      </c>
      <c r="I54" s="50"/>
      <c r="J54" s="17">
        <f t="shared" si="0"/>
        <v>26.477999999999998</v>
      </c>
      <c r="K54" s="14">
        <v>0</v>
      </c>
      <c r="L54" s="17">
        <v>503.08199999999994</v>
      </c>
    </row>
    <row r="55" spans="1:12" x14ac:dyDescent="0.25">
      <c r="A55" s="19">
        <v>41220</v>
      </c>
      <c r="B55" s="18" t="s">
        <v>75</v>
      </c>
      <c r="C55" s="15">
        <v>7401853</v>
      </c>
      <c r="D55" s="16" t="s">
        <v>76</v>
      </c>
      <c r="E55" s="20">
        <v>519820</v>
      </c>
      <c r="F55" s="27">
        <v>19.78</v>
      </c>
      <c r="G55" s="27">
        <v>0</v>
      </c>
      <c r="H55" s="27">
        <v>19.78</v>
      </c>
      <c r="I55" s="50"/>
      <c r="J55" s="17">
        <f t="shared" si="0"/>
        <v>0.9890000000000001</v>
      </c>
      <c r="K55" s="14">
        <v>0</v>
      </c>
      <c r="L55" s="17">
        <v>19.78</v>
      </c>
    </row>
    <row r="56" spans="1:12" x14ac:dyDescent="0.25">
      <c r="A56" s="19">
        <v>41220</v>
      </c>
      <c r="B56" s="18" t="s">
        <v>77</v>
      </c>
      <c r="C56" s="15">
        <v>4238916</v>
      </c>
      <c r="D56" s="16" t="s">
        <v>78</v>
      </c>
      <c r="E56" s="20">
        <v>519755</v>
      </c>
      <c r="F56" s="14">
        <v>214.26</v>
      </c>
      <c r="G56" s="14">
        <v>35.6</v>
      </c>
      <c r="H56" s="14">
        <v>183.01</v>
      </c>
      <c r="I56" s="22"/>
      <c r="J56" s="17">
        <f t="shared" si="0"/>
        <v>9.1504999999999992</v>
      </c>
      <c r="K56" s="14">
        <v>4.3499999999999996</v>
      </c>
      <c r="L56" s="17">
        <v>173.8595</v>
      </c>
    </row>
    <row r="57" spans="1:12" x14ac:dyDescent="0.25">
      <c r="A57" s="19">
        <v>41220</v>
      </c>
      <c r="B57" s="18" t="s">
        <v>79</v>
      </c>
      <c r="C57" s="15">
        <v>7406353</v>
      </c>
      <c r="D57" s="16" t="s">
        <v>80</v>
      </c>
      <c r="E57" s="20">
        <v>519615</v>
      </c>
      <c r="F57" s="14">
        <v>712</v>
      </c>
      <c r="G57" s="14">
        <v>142.4</v>
      </c>
      <c r="H57" s="14">
        <v>569.6</v>
      </c>
      <c r="I57" s="22"/>
      <c r="J57" s="17">
        <f t="shared" si="0"/>
        <v>28.480000000000004</v>
      </c>
      <c r="K57" s="14">
        <v>0</v>
      </c>
      <c r="L57" s="17">
        <v>541.12</v>
      </c>
    </row>
    <row r="58" spans="1:12" x14ac:dyDescent="0.25">
      <c r="A58" s="19">
        <v>41220</v>
      </c>
      <c r="B58" s="18" t="s">
        <v>81</v>
      </c>
      <c r="C58" s="15">
        <v>4378236</v>
      </c>
      <c r="D58" s="16" t="s">
        <v>82</v>
      </c>
      <c r="E58" s="20">
        <v>519632</v>
      </c>
      <c r="F58" s="14">
        <v>561.34</v>
      </c>
      <c r="G58" s="14">
        <v>112.27</v>
      </c>
      <c r="H58" s="14">
        <v>449.07</v>
      </c>
      <c r="I58" s="50">
        <v>708.47</v>
      </c>
      <c r="J58" s="17">
        <f t="shared" si="0"/>
        <v>22.453500000000002</v>
      </c>
      <c r="K58" s="14">
        <v>0</v>
      </c>
      <c r="L58" s="17">
        <v>426.61649999999997</v>
      </c>
    </row>
    <row r="59" spans="1:12" x14ac:dyDescent="0.25">
      <c r="A59" s="19">
        <v>41220</v>
      </c>
      <c r="B59" s="18" t="s">
        <v>81</v>
      </c>
      <c r="C59" s="15">
        <v>4378236</v>
      </c>
      <c r="D59" s="16" t="s">
        <v>82</v>
      </c>
      <c r="E59" s="20">
        <v>519633</v>
      </c>
      <c r="F59" s="14">
        <v>315</v>
      </c>
      <c r="G59" s="14">
        <v>55.6</v>
      </c>
      <c r="H59" s="14">
        <v>259.39999999999998</v>
      </c>
      <c r="I59" s="50"/>
      <c r="J59" s="17">
        <f t="shared" si="0"/>
        <v>12.969999999999999</v>
      </c>
      <c r="K59" s="14">
        <v>0</v>
      </c>
      <c r="L59" s="17">
        <v>246.42999999999998</v>
      </c>
    </row>
    <row r="60" spans="1:12" x14ac:dyDescent="0.25">
      <c r="A60" s="19">
        <v>41221</v>
      </c>
      <c r="B60" s="18" t="s">
        <v>83</v>
      </c>
      <c r="C60" s="15">
        <v>7388080</v>
      </c>
      <c r="D60" s="16" t="s">
        <v>84</v>
      </c>
      <c r="E60" s="20">
        <v>519559</v>
      </c>
      <c r="F60" s="14">
        <v>487.47</v>
      </c>
      <c r="G60" s="14">
        <v>94.2</v>
      </c>
      <c r="H60" s="14">
        <v>393.27</v>
      </c>
      <c r="I60" s="22"/>
      <c r="J60" s="17">
        <f t="shared" si="0"/>
        <v>19.663499999999999</v>
      </c>
      <c r="K60" s="14">
        <v>0</v>
      </c>
      <c r="L60" s="17">
        <v>373.60649999999998</v>
      </c>
    </row>
    <row r="61" spans="1:12" x14ac:dyDescent="0.25">
      <c r="A61" s="19">
        <v>41221</v>
      </c>
      <c r="B61" s="18" t="s">
        <v>85</v>
      </c>
      <c r="C61" s="15">
        <v>13785661</v>
      </c>
      <c r="D61" s="16" t="s">
        <v>86</v>
      </c>
      <c r="E61" s="20">
        <v>519451</v>
      </c>
      <c r="F61" s="14">
        <v>209.74</v>
      </c>
      <c r="G61" s="14">
        <v>0</v>
      </c>
      <c r="H61" s="14">
        <v>234.91</v>
      </c>
      <c r="I61" s="50">
        <v>360.51</v>
      </c>
      <c r="J61" s="17">
        <f t="shared" si="0"/>
        <v>11.7455</v>
      </c>
      <c r="K61" s="14">
        <v>25.17</v>
      </c>
      <c r="L61" s="17">
        <v>234.91</v>
      </c>
    </row>
    <row r="62" spans="1:12" x14ac:dyDescent="0.25">
      <c r="A62" s="19">
        <v>41221</v>
      </c>
      <c r="B62" s="18" t="s">
        <v>85</v>
      </c>
      <c r="C62" s="15">
        <v>13785661</v>
      </c>
      <c r="D62" s="16" t="s">
        <v>86</v>
      </c>
      <c r="E62" s="20">
        <v>519675</v>
      </c>
      <c r="F62" s="14">
        <v>155.6</v>
      </c>
      <c r="G62" s="14">
        <v>30</v>
      </c>
      <c r="H62" s="14">
        <v>125.6</v>
      </c>
      <c r="I62" s="50"/>
      <c r="J62" s="17">
        <f t="shared" si="0"/>
        <v>6.28</v>
      </c>
      <c r="K62" s="14">
        <v>0</v>
      </c>
      <c r="L62" s="17">
        <v>119.32</v>
      </c>
    </row>
    <row r="63" spans="1:12" x14ac:dyDescent="0.25">
      <c r="A63" s="19">
        <v>41221</v>
      </c>
      <c r="B63" s="18" t="s">
        <v>87</v>
      </c>
      <c r="C63" s="15">
        <v>3877925</v>
      </c>
      <c r="D63" s="16" t="s">
        <v>88</v>
      </c>
      <c r="E63" s="20">
        <v>519623</v>
      </c>
      <c r="F63" s="14">
        <v>660.79</v>
      </c>
      <c r="G63" s="14">
        <v>132.16</v>
      </c>
      <c r="H63" s="14">
        <v>528.63</v>
      </c>
      <c r="I63" s="22"/>
      <c r="J63" s="17">
        <f t="shared" si="0"/>
        <v>26.4315</v>
      </c>
      <c r="K63" s="14">
        <v>0</v>
      </c>
      <c r="L63" s="17">
        <v>502.19849999999997</v>
      </c>
    </row>
    <row r="64" spans="1:12" x14ac:dyDescent="0.25">
      <c r="A64" s="19">
        <v>41221</v>
      </c>
      <c r="B64" s="18" t="s">
        <v>89</v>
      </c>
      <c r="C64" s="15">
        <v>7395742</v>
      </c>
      <c r="D64" s="16" t="s">
        <v>90</v>
      </c>
      <c r="E64" s="20">
        <v>519411</v>
      </c>
      <c r="F64" s="14">
        <v>430.59</v>
      </c>
      <c r="G64" s="14">
        <v>86.12</v>
      </c>
      <c r="H64" s="14">
        <v>344.47</v>
      </c>
      <c r="I64" s="50">
        <v>362.08000000000004</v>
      </c>
      <c r="J64" s="17">
        <f t="shared" si="0"/>
        <v>17.223500000000001</v>
      </c>
      <c r="K64" s="14">
        <v>0</v>
      </c>
      <c r="L64" s="17">
        <v>327.24650000000003</v>
      </c>
    </row>
    <row r="65" spans="1:12" x14ac:dyDescent="0.25">
      <c r="A65" s="19">
        <v>41221</v>
      </c>
      <c r="B65" s="18" t="s">
        <v>89</v>
      </c>
      <c r="C65" s="15">
        <v>7395742</v>
      </c>
      <c r="D65" s="16" t="s">
        <v>90</v>
      </c>
      <c r="E65" s="20">
        <v>519412</v>
      </c>
      <c r="F65" s="14">
        <v>16.29</v>
      </c>
      <c r="G65" s="14">
        <v>0</v>
      </c>
      <c r="H65" s="14">
        <v>17.61</v>
      </c>
      <c r="I65" s="50"/>
      <c r="J65" s="17">
        <f t="shared" si="0"/>
        <v>0.88050000000000006</v>
      </c>
      <c r="K65" s="14">
        <v>1.32</v>
      </c>
      <c r="L65" s="17">
        <v>17.61</v>
      </c>
    </row>
    <row r="66" spans="1:12" x14ac:dyDescent="0.25">
      <c r="A66" s="19">
        <v>41221</v>
      </c>
      <c r="B66" s="18" t="s">
        <v>91</v>
      </c>
      <c r="C66" s="15">
        <v>11783201</v>
      </c>
      <c r="D66" s="16" t="s">
        <v>92</v>
      </c>
      <c r="E66" s="20">
        <v>519673</v>
      </c>
      <c r="F66" s="14">
        <v>301.98</v>
      </c>
      <c r="G66" s="14">
        <v>58.2</v>
      </c>
      <c r="H66" s="14">
        <v>243.78</v>
      </c>
      <c r="I66" s="22"/>
      <c r="J66" s="17">
        <f t="shared" si="0"/>
        <v>12.189</v>
      </c>
      <c r="K66" s="14">
        <v>0</v>
      </c>
      <c r="L66" s="17">
        <v>231.59100000000001</v>
      </c>
    </row>
    <row r="67" spans="1:12" x14ac:dyDescent="0.25">
      <c r="A67" s="19">
        <v>41221</v>
      </c>
      <c r="B67" s="18" t="s">
        <v>93</v>
      </c>
      <c r="C67" s="15">
        <v>6573855</v>
      </c>
      <c r="D67" s="16" t="s">
        <v>94</v>
      </c>
      <c r="E67" s="20">
        <v>519711</v>
      </c>
      <c r="F67" s="14">
        <v>156</v>
      </c>
      <c r="G67" s="14">
        <v>31.2</v>
      </c>
      <c r="H67" s="14">
        <v>124.8</v>
      </c>
      <c r="I67" s="22"/>
      <c r="J67" s="17">
        <f t="shared" si="0"/>
        <v>6.24</v>
      </c>
      <c r="K67" s="14">
        <v>0</v>
      </c>
      <c r="L67" s="17">
        <v>118.56</v>
      </c>
    </row>
    <row r="68" spans="1:12" x14ac:dyDescent="0.25">
      <c r="A68" s="19">
        <v>41221</v>
      </c>
      <c r="B68" s="18" t="s">
        <v>95</v>
      </c>
      <c r="C68" s="15">
        <v>12702273</v>
      </c>
      <c r="D68" s="16" t="s">
        <v>96</v>
      </c>
      <c r="E68" s="20">
        <v>519423</v>
      </c>
      <c r="F68" s="14">
        <v>376.71</v>
      </c>
      <c r="G68" s="14">
        <v>74.400000000000006</v>
      </c>
      <c r="H68" s="14">
        <v>302.31</v>
      </c>
      <c r="I68" s="50">
        <v>567.91000000000008</v>
      </c>
      <c r="J68" s="17">
        <f t="shared" si="0"/>
        <v>15.115500000000001</v>
      </c>
      <c r="K68" s="14">
        <v>0</v>
      </c>
      <c r="L68" s="17">
        <v>287.19450000000001</v>
      </c>
    </row>
    <row r="69" spans="1:12" x14ac:dyDescent="0.25">
      <c r="A69" s="19">
        <v>41221</v>
      </c>
      <c r="B69" s="18" t="s">
        <v>95</v>
      </c>
      <c r="C69" s="15">
        <v>12702273</v>
      </c>
      <c r="D69" s="16" t="s">
        <v>96</v>
      </c>
      <c r="E69" s="20">
        <v>519814</v>
      </c>
      <c r="F69" s="27">
        <v>332</v>
      </c>
      <c r="G69" s="27">
        <v>66.400000000000006</v>
      </c>
      <c r="H69" s="27">
        <v>265.60000000000002</v>
      </c>
      <c r="I69" s="50"/>
      <c r="J69" s="17">
        <f t="shared" si="0"/>
        <v>13.280000000000001</v>
      </c>
      <c r="K69" s="14">
        <v>0</v>
      </c>
      <c r="L69" s="17">
        <v>252.32000000000002</v>
      </c>
    </row>
    <row r="70" spans="1:12" x14ac:dyDescent="0.25">
      <c r="A70" s="19">
        <v>41222</v>
      </c>
      <c r="B70" s="18" t="s">
        <v>97</v>
      </c>
      <c r="C70" s="15">
        <v>12698965</v>
      </c>
      <c r="D70" s="16" t="s">
        <v>98</v>
      </c>
      <c r="E70" s="20">
        <v>519540</v>
      </c>
      <c r="F70" s="14">
        <v>500.04</v>
      </c>
      <c r="G70" s="14">
        <v>100.01</v>
      </c>
      <c r="H70" s="14">
        <v>400.03</v>
      </c>
      <c r="I70" s="50">
        <v>502.87</v>
      </c>
      <c r="J70" s="17">
        <f t="shared" si="0"/>
        <v>20.0015</v>
      </c>
      <c r="K70" s="14">
        <v>0</v>
      </c>
      <c r="L70" s="17">
        <v>380.02849999999995</v>
      </c>
    </row>
    <row r="71" spans="1:12" x14ac:dyDescent="0.25">
      <c r="A71" s="19">
        <v>41222</v>
      </c>
      <c r="B71" s="18" t="s">
        <v>97</v>
      </c>
      <c r="C71" s="15">
        <v>12698965</v>
      </c>
      <c r="D71" s="16" t="s">
        <v>98</v>
      </c>
      <c r="E71" s="20">
        <v>519541</v>
      </c>
      <c r="F71" s="14">
        <v>128.56</v>
      </c>
      <c r="G71" s="14">
        <v>25.72</v>
      </c>
      <c r="H71" s="14">
        <v>102.84</v>
      </c>
      <c r="I71" s="50"/>
      <c r="J71" s="17">
        <f t="shared" si="0"/>
        <v>5.1420000000000003</v>
      </c>
      <c r="K71" s="14">
        <v>0</v>
      </c>
      <c r="L71" s="17">
        <v>97.698000000000008</v>
      </c>
    </row>
    <row r="72" spans="1:12" x14ac:dyDescent="0.25">
      <c r="A72" s="19">
        <v>41222</v>
      </c>
      <c r="B72" s="18" t="s">
        <v>99</v>
      </c>
      <c r="C72" s="15">
        <v>1926999</v>
      </c>
      <c r="D72" s="16" t="s">
        <v>100</v>
      </c>
      <c r="E72" s="20">
        <v>519474</v>
      </c>
      <c r="F72" s="14">
        <v>280</v>
      </c>
      <c r="G72" s="14">
        <v>56</v>
      </c>
      <c r="H72" s="14">
        <v>224</v>
      </c>
      <c r="I72" s="22"/>
      <c r="J72" s="17">
        <f t="shared" si="0"/>
        <v>11.200000000000001</v>
      </c>
      <c r="K72" s="14">
        <v>0</v>
      </c>
      <c r="L72" s="17">
        <v>212.8</v>
      </c>
    </row>
    <row r="73" spans="1:12" x14ac:dyDescent="0.25">
      <c r="A73" s="19">
        <v>41222</v>
      </c>
      <c r="B73" s="18" t="s">
        <v>101</v>
      </c>
      <c r="C73" s="15">
        <v>2741170</v>
      </c>
      <c r="D73" s="16" t="s">
        <v>102</v>
      </c>
      <c r="E73" s="20">
        <v>519617</v>
      </c>
      <c r="F73" s="14">
        <v>1961</v>
      </c>
      <c r="G73" s="14">
        <v>392.2</v>
      </c>
      <c r="H73" s="14">
        <v>1568.8</v>
      </c>
      <c r="I73" s="50">
        <v>1664.6399999999999</v>
      </c>
      <c r="J73" s="17">
        <f t="shared" si="0"/>
        <v>78.44</v>
      </c>
      <c r="K73" s="14">
        <v>0</v>
      </c>
      <c r="L73" s="17">
        <v>1490.36</v>
      </c>
    </row>
    <row r="74" spans="1:12" x14ac:dyDescent="0.25">
      <c r="A74" s="19">
        <v>41222</v>
      </c>
      <c r="B74" s="18" t="s">
        <v>101</v>
      </c>
      <c r="C74" s="15">
        <v>2741170</v>
      </c>
      <c r="D74" s="16" t="s">
        <v>102</v>
      </c>
      <c r="E74" s="20">
        <v>519618</v>
      </c>
      <c r="F74" s="14">
        <v>108.86</v>
      </c>
      <c r="G74" s="14">
        <v>13.02</v>
      </c>
      <c r="H74" s="14">
        <v>95.84</v>
      </c>
      <c r="I74" s="50"/>
      <c r="J74" s="17">
        <f t="shared" ref="J74:J86" si="1">H74*5%</f>
        <v>4.7920000000000007</v>
      </c>
      <c r="K74" s="14">
        <v>0</v>
      </c>
      <c r="L74" s="17">
        <v>91.048000000000002</v>
      </c>
    </row>
    <row r="75" spans="1:12" x14ac:dyDescent="0.25">
      <c r="A75" s="19">
        <v>41222</v>
      </c>
      <c r="B75" s="18" t="s">
        <v>103</v>
      </c>
      <c r="C75" s="15">
        <v>7373089</v>
      </c>
      <c r="D75" s="16" t="s">
        <v>104</v>
      </c>
      <c r="E75" s="20">
        <v>519466</v>
      </c>
      <c r="F75" s="14">
        <v>673.53</v>
      </c>
      <c r="G75" s="14">
        <v>134</v>
      </c>
      <c r="H75" s="14">
        <v>539.53</v>
      </c>
      <c r="I75" s="22"/>
      <c r="J75" s="17">
        <f t="shared" si="1"/>
        <v>26.976500000000001</v>
      </c>
      <c r="K75" s="14">
        <v>0</v>
      </c>
      <c r="L75" s="17">
        <v>512.55349999999999</v>
      </c>
    </row>
    <row r="76" spans="1:12" x14ac:dyDescent="0.25">
      <c r="A76" s="19">
        <v>41222</v>
      </c>
      <c r="B76" s="18" t="s">
        <v>105</v>
      </c>
      <c r="C76" s="15">
        <v>14293690</v>
      </c>
      <c r="D76" s="16" t="s">
        <v>106</v>
      </c>
      <c r="E76" s="20" t="s">
        <v>107</v>
      </c>
      <c r="F76" s="14">
        <v>714.82</v>
      </c>
      <c r="G76" s="14">
        <v>142.96</v>
      </c>
      <c r="H76" s="14">
        <v>571.86</v>
      </c>
      <c r="I76" s="22"/>
      <c r="J76" s="17">
        <f t="shared" si="1"/>
        <v>28.593000000000004</v>
      </c>
      <c r="K76" s="14">
        <v>0</v>
      </c>
      <c r="L76" s="17">
        <v>543.26700000000005</v>
      </c>
    </row>
    <row r="77" spans="1:12" x14ac:dyDescent="0.25">
      <c r="A77" s="19">
        <v>41222</v>
      </c>
      <c r="B77" s="18" t="s">
        <v>108</v>
      </c>
      <c r="C77" s="15">
        <v>11879419</v>
      </c>
      <c r="D77" s="16" t="s">
        <v>109</v>
      </c>
      <c r="E77" s="20">
        <v>519459</v>
      </c>
      <c r="F77" s="14">
        <v>1066.92</v>
      </c>
      <c r="G77" s="14">
        <v>166.27</v>
      </c>
      <c r="H77" s="14">
        <v>900.65</v>
      </c>
      <c r="I77" s="50">
        <v>1449.5900000000001</v>
      </c>
      <c r="J77" s="17">
        <f t="shared" si="1"/>
        <v>45.032499999999999</v>
      </c>
      <c r="K77" s="14">
        <v>0</v>
      </c>
      <c r="L77" s="17">
        <v>855.61749999999995</v>
      </c>
    </row>
    <row r="78" spans="1:12" x14ac:dyDescent="0.25">
      <c r="A78" s="19">
        <v>41222</v>
      </c>
      <c r="B78" s="18" t="s">
        <v>108</v>
      </c>
      <c r="C78" s="15">
        <v>11879419</v>
      </c>
      <c r="D78" s="16" t="s">
        <v>109</v>
      </c>
      <c r="E78" s="20">
        <v>519723</v>
      </c>
      <c r="F78" s="14">
        <v>686.17</v>
      </c>
      <c r="G78" s="14">
        <v>137.22999999999999</v>
      </c>
      <c r="H78" s="14">
        <v>548.94000000000005</v>
      </c>
      <c r="I78" s="50"/>
      <c r="J78" s="17">
        <f t="shared" si="1"/>
        <v>27.447000000000003</v>
      </c>
      <c r="K78" s="14">
        <v>0</v>
      </c>
      <c r="L78" s="17">
        <v>521.49300000000005</v>
      </c>
    </row>
    <row r="79" spans="1:12" x14ac:dyDescent="0.25">
      <c r="A79" s="19">
        <v>41223</v>
      </c>
      <c r="B79" s="18" t="s">
        <v>110</v>
      </c>
      <c r="C79" s="15">
        <v>7322780</v>
      </c>
      <c r="D79" s="16" t="s">
        <v>111</v>
      </c>
      <c r="E79" s="20">
        <v>519485</v>
      </c>
      <c r="F79" s="14">
        <v>111</v>
      </c>
      <c r="G79" s="14">
        <v>22.2</v>
      </c>
      <c r="H79" s="14">
        <v>88.8</v>
      </c>
      <c r="I79" s="22"/>
      <c r="J79" s="17">
        <f t="shared" si="1"/>
        <v>4.4400000000000004</v>
      </c>
      <c r="K79" s="14">
        <v>0</v>
      </c>
      <c r="L79" s="17">
        <v>84.36</v>
      </c>
    </row>
    <row r="80" spans="1:12" x14ac:dyDescent="0.25">
      <c r="A80" s="19">
        <v>41223</v>
      </c>
      <c r="B80" s="18" t="s">
        <v>112</v>
      </c>
      <c r="C80" s="15">
        <v>15668851</v>
      </c>
      <c r="D80" s="16" t="s">
        <v>113</v>
      </c>
      <c r="E80" s="20">
        <v>519493</v>
      </c>
      <c r="F80" s="14">
        <v>72.540000000000006</v>
      </c>
      <c r="G80" s="14">
        <v>13.54</v>
      </c>
      <c r="H80" s="14">
        <v>59</v>
      </c>
      <c r="I80" s="22"/>
      <c r="J80" s="17">
        <f t="shared" si="1"/>
        <v>2.95</v>
      </c>
      <c r="K80" s="14">
        <v>0</v>
      </c>
      <c r="L80" s="17">
        <v>56.05</v>
      </c>
    </row>
    <row r="81" spans="1:12" x14ac:dyDescent="0.25">
      <c r="A81" s="19">
        <v>41223</v>
      </c>
      <c r="B81" s="26" t="s">
        <v>114</v>
      </c>
      <c r="C81" s="15">
        <v>9066082</v>
      </c>
      <c r="D81" s="16" t="s">
        <v>115</v>
      </c>
      <c r="E81" s="20">
        <v>519571</v>
      </c>
      <c r="F81" s="14">
        <v>266</v>
      </c>
      <c r="G81" s="14">
        <v>40.6</v>
      </c>
      <c r="H81" s="14">
        <v>227.55</v>
      </c>
      <c r="I81" s="22"/>
      <c r="J81" s="17">
        <f t="shared" si="1"/>
        <v>11.377500000000001</v>
      </c>
      <c r="K81" s="14">
        <v>2.15</v>
      </c>
      <c r="L81" s="17">
        <v>216.17250000000001</v>
      </c>
    </row>
    <row r="82" spans="1:12" x14ac:dyDescent="0.25">
      <c r="A82" s="19">
        <v>41223</v>
      </c>
      <c r="B82" s="18" t="s">
        <v>116</v>
      </c>
      <c r="C82" s="15">
        <v>5249259</v>
      </c>
      <c r="D82" s="16" t="s">
        <v>117</v>
      </c>
      <c r="E82" s="20">
        <v>519491</v>
      </c>
      <c r="F82" s="14">
        <v>337.51</v>
      </c>
      <c r="G82" s="14">
        <v>67.5</v>
      </c>
      <c r="H82" s="14">
        <v>270.01</v>
      </c>
      <c r="I82" s="22"/>
      <c r="J82" s="17">
        <f t="shared" si="1"/>
        <v>13.500500000000001</v>
      </c>
      <c r="K82" s="14">
        <v>0</v>
      </c>
      <c r="L82" s="17">
        <v>256.5095</v>
      </c>
    </row>
    <row r="83" spans="1:12" x14ac:dyDescent="0.25">
      <c r="A83" s="19">
        <v>41223</v>
      </c>
      <c r="B83" s="18" t="s">
        <v>118</v>
      </c>
      <c r="C83" s="15">
        <v>12249178</v>
      </c>
      <c r="D83" s="16" t="s">
        <v>119</v>
      </c>
      <c r="E83" s="20">
        <v>519590</v>
      </c>
      <c r="F83" s="14">
        <v>430.58</v>
      </c>
      <c r="G83" s="14">
        <v>86.12</v>
      </c>
      <c r="H83" s="14">
        <v>344.46</v>
      </c>
      <c r="I83" s="22"/>
      <c r="J83" s="17">
        <f t="shared" si="1"/>
        <v>17.222999999999999</v>
      </c>
      <c r="K83" s="14">
        <v>0</v>
      </c>
      <c r="L83" s="17">
        <v>327.23699999999997</v>
      </c>
    </row>
    <row r="84" spans="1:12" x14ac:dyDescent="0.25">
      <c r="A84" s="19">
        <v>41223</v>
      </c>
      <c r="B84" s="18" t="s">
        <v>120</v>
      </c>
      <c r="C84" s="15">
        <v>15668151</v>
      </c>
      <c r="D84" s="16" t="s">
        <v>121</v>
      </c>
      <c r="E84" s="20">
        <v>519448</v>
      </c>
      <c r="F84" s="14">
        <v>733</v>
      </c>
      <c r="G84" s="14">
        <v>146.6</v>
      </c>
      <c r="H84" s="14">
        <v>586.4</v>
      </c>
      <c r="I84" s="22"/>
      <c r="J84" s="17">
        <f t="shared" si="1"/>
        <v>29.32</v>
      </c>
      <c r="K84" s="14">
        <v>0</v>
      </c>
      <c r="L84" s="17">
        <v>557.07999999999993</v>
      </c>
    </row>
    <row r="85" spans="1:12" x14ac:dyDescent="0.25">
      <c r="A85" s="19">
        <v>41223</v>
      </c>
      <c r="B85" s="18" t="s">
        <v>122</v>
      </c>
      <c r="C85" s="15">
        <v>7449457</v>
      </c>
      <c r="D85" s="16" t="s">
        <v>123</v>
      </c>
      <c r="E85" s="20">
        <v>519806</v>
      </c>
      <c r="F85" s="27">
        <v>149.80000000000001</v>
      </c>
      <c r="G85" s="27">
        <v>29.96</v>
      </c>
      <c r="H85" s="27">
        <v>119.84</v>
      </c>
      <c r="I85" s="50">
        <v>219.84</v>
      </c>
      <c r="J85" s="17">
        <f t="shared" si="1"/>
        <v>5.9920000000000009</v>
      </c>
      <c r="K85" s="14">
        <v>0</v>
      </c>
      <c r="L85" s="17">
        <v>113.848</v>
      </c>
    </row>
    <row r="86" spans="1:12" x14ac:dyDescent="0.25">
      <c r="A86" s="19">
        <v>41223</v>
      </c>
      <c r="B86" s="18" t="s">
        <v>122</v>
      </c>
      <c r="C86" s="15">
        <v>7449457</v>
      </c>
      <c r="D86" s="16" t="s">
        <v>123</v>
      </c>
      <c r="E86" s="20">
        <v>519807</v>
      </c>
      <c r="F86" s="27">
        <v>125</v>
      </c>
      <c r="G86" s="27">
        <v>25</v>
      </c>
      <c r="H86" s="27">
        <v>100</v>
      </c>
      <c r="I86" s="50"/>
      <c r="J86" s="17">
        <f t="shared" si="1"/>
        <v>5</v>
      </c>
      <c r="K86" s="14">
        <v>0</v>
      </c>
      <c r="L86" s="17">
        <v>95</v>
      </c>
    </row>
    <row r="87" spans="1:12" x14ac:dyDescent="0.25">
      <c r="A87" s="40">
        <v>41222</v>
      </c>
      <c r="B87" s="39" t="s">
        <v>130</v>
      </c>
      <c r="C87" s="36">
        <v>9613403</v>
      </c>
      <c r="D87" s="37" t="s">
        <v>131</v>
      </c>
      <c r="E87" s="41" t="s">
        <v>132</v>
      </c>
      <c r="F87" s="35">
        <v>464.01</v>
      </c>
      <c r="G87" s="35">
        <v>75.95</v>
      </c>
      <c r="H87" s="35">
        <v>388.06</v>
      </c>
      <c r="I87" s="45"/>
      <c r="J87" s="38">
        <f>H87*5%</f>
        <v>19.403000000000002</v>
      </c>
      <c r="K87" s="35">
        <v>0</v>
      </c>
      <c r="L87" s="38">
        <v>368.65699999999998</v>
      </c>
    </row>
    <row r="88" spans="1:12" x14ac:dyDescent="0.25">
      <c r="A88" s="1"/>
      <c r="B88" s="24"/>
      <c r="C88" s="1"/>
      <c r="D88" s="1"/>
      <c r="E88" s="6"/>
      <c r="F88" s="4"/>
      <c r="G88" s="4"/>
      <c r="H88" s="7"/>
      <c r="I88" s="7"/>
      <c r="J88" s="13"/>
      <c r="K88" s="3"/>
      <c r="L88" s="8"/>
    </row>
    <row r="89" spans="1:12" x14ac:dyDescent="0.25">
      <c r="A89" s="1"/>
      <c r="B89" s="1"/>
      <c r="C89" s="1"/>
      <c r="D89" s="1"/>
      <c r="E89" s="6"/>
      <c r="F89" s="4"/>
      <c r="G89" s="4"/>
      <c r="H89" s="7"/>
      <c r="I89" s="7"/>
      <c r="J89" s="13"/>
      <c r="K89" s="3"/>
      <c r="L89" s="8"/>
    </row>
    <row r="90" spans="1:12" x14ac:dyDescent="0.25">
      <c r="A90" s="1"/>
      <c r="B90" s="1"/>
      <c r="C90" s="1"/>
      <c r="D90" s="1"/>
      <c r="E90" s="6"/>
      <c r="F90" s="4"/>
      <c r="G90" s="4"/>
      <c r="H90" s="7"/>
      <c r="I90" s="7"/>
      <c r="J90" s="13"/>
      <c r="K90" s="3"/>
      <c r="L90" s="8"/>
    </row>
    <row r="91" spans="1:12" x14ac:dyDescent="0.25">
      <c r="A91" s="2"/>
      <c r="B91" s="76" t="s">
        <v>124</v>
      </c>
      <c r="C91" s="77"/>
      <c r="D91" s="78"/>
      <c r="E91" s="79" t="s">
        <v>125</v>
      </c>
      <c r="F91" s="79"/>
      <c r="G91" s="79"/>
      <c r="H91" s="79"/>
      <c r="I91" s="79"/>
      <c r="J91" s="80"/>
      <c r="K91" s="5"/>
      <c r="L91" s="9"/>
    </row>
    <row r="92" spans="1:12" x14ac:dyDescent="0.25">
      <c r="A92" s="2"/>
      <c r="B92" s="70"/>
      <c r="C92" s="71"/>
      <c r="D92" s="72"/>
      <c r="E92" s="64"/>
      <c r="F92" s="65"/>
      <c r="G92" s="65"/>
      <c r="H92" s="65"/>
      <c r="I92" s="65"/>
      <c r="J92" s="66"/>
      <c r="K92" s="5"/>
      <c r="L92" s="9"/>
    </row>
    <row r="93" spans="1:12" x14ac:dyDescent="0.25">
      <c r="A93" s="1"/>
      <c r="B93" s="73"/>
      <c r="C93" s="74"/>
      <c r="D93" s="75"/>
      <c r="E93" s="67"/>
      <c r="F93" s="68"/>
      <c r="G93" s="68"/>
      <c r="H93" s="68"/>
      <c r="I93" s="68"/>
      <c r="J93" s="69"/>
      <c r="K93" s="1"/>
      <c r="L93" s="1"/>
    </row>
    <row r="94" spans="1:12" x14ac:dyDescent="0.25">
      <c r="A94" s="1"/>
      <c r="B94" s="51" t="s">
        <v>126</v>
      </c>
      <c r="C94" s="52"/>
      <c r="D94" s="53"/>
      <c r="E94" s="54" t="s">
        <v>127</v>
      </c>
      <c r="F94" s="55"/>
      <c r="G94" s="55"/>
      <c r="H94" s="55"/>
      <c r="I94" s="55"/>
      <c r="J94" s="56"/>
      <c r="K94" s="1"/>
      <c r="L94" s="1"/>
    </row>
  </sheetData>
  <mergeCells count="32">
    <mergeCell ref="B94:D94"/>
    <mergeCell ref="E94:J94"/>
    <mergeCell ref="A2:L2"/>
    <mergeCell ref="H8:I8"/>
    <mergeCell ref="A3:L3"/>
    <mergeCell ref="A4:L4"/>
    <mergeCell ref="A5:L5"/>
    <mergeCell ref="A6:L6"/>
    <mergeCell ref="A7:L7"/>
    <mergeCell ref="E92:J93"/>
    <mergeCell ref="B92:D93"/>
    <mergeCell ref="B91:D91"/>
    <mergeCell ref="E91:J91"/>
    <mergeCell ref="I10:I13"/>
    <mergeCell ref="I14:I15"/>
    <mergeCell ref="I17:I19"/>
    <mergeCell ref="I24:I25"/>
    <mergeCell ref="I30:I31"/>
    <mergeCell ref="I22:I23"/>
    <mergeCell ref="I35:I38"/>
    <mergeCell ref="I41:I42"/>
    <mergeCell ref="I47:I48"/>
    <mergeCell ref="I49:I50"/>
    <mergeCell ref="I53:I55"/>
    <mergeCell ref="I73:I74"/>
    <mergeCell ref="I77:I78"/>
    <mergeCell ref="I85:I86"/>
    <mergeCell ref="I58:I59"/>
    <mergeCell ref="I61:I62"/>
    <mergeCell ref="I64:I65"/>
    <mergeCell ref="I68:I69"/>
    <mergeCell ref="I70:I7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21"/>
  <sheetViews>
    <sheetView topLeftCell="A4" workbookViewId="0">
      <selection activeCell="A10" sqref="A10:L10"/>
    </sheetView>
  </sheetViews>
  <sheetFormatPr baseColWidth="10" defaultRowHeight="15" x14ac:dyDescent="0.25"/>
  <sheetData>
    <row r="4" spans="1:12" ht="14.45" x14ac:dyDescent="0.3">
      <c r="A4" s="59" t="s">
        <v>1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2" ht="14.45" x14ac:dyDescent="0.3">
      <c r="A5" s="60" t="s">
        <v>2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</row>
    <row r="6" spans="1:12" x14ac:dyDescent="0.25">
      <c r="A6" s="61" t="s">
        <v>3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1:12" ht="14.45" x14ac:dyDescent="0.3">
      <c r="A7" s="62" t="s">
        <v>128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</row>
    <row r="8" spans="1:12" ht="14.45" x14ac:dyDescent="0.3">
      <c r="A8" s="81" t="s">
        <v>129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</row>
    <row r="9" spans="1:12" x14ac:dyDescent="0.25">
      <c r="A9" s="33" t="s">
        <v>6</v>
      </c>
      <c r="B9" s="33" t="s">
        <v>7</v>
      </c>
      <c r="C9" s="32" t="s">
        <v>8</v>
      </c>
      <c r="D9" s="32" t="s">
        <v>9</v>
      </c>
      <c r="E9" s="33" t="s">
        <v>10</v>
      </c>
      <c r="F9" s="34" t="s">
        <v>11</v>
      </c>
      <c r="G9" s="34" t="s">
        <v>12</v>
      </c>
      <c r="H9" s="58" t="s">
        <v>13</v>
      </c>
      <c r="I9" s="58"/>
      <c r="J9" s="46" t="s">
        <v>14</v>
      </c>
      <c r="K9" s="34" t="s">
        <v>15</v>
      </c>
      <c r="L9" s="34" t="s">
        <v>16</v>
      </c>
    </row>
    <row r="10" spans="1:12" ht="14.45" x14ac:dyDescent="0.3">
      <c r="A10" s="40">
        <v>41222</v>
      </c>
      <c r="B10" s="39" t="s">
        <v>130</v>
      </c>
      <c r="C10" s="36">
        <v>9613403</v>
      </c>
      <c r="D10" s="37" t="s">
        <v>131</v>
      </c>
      <c r="E10" s="41" t="s">
        <v>132</v>
      </c>
      <c r="F10" s="35">
        <v>464.01</v>
      </c>
      <c r="G10" s="35">
        <v>75.95</v>
      </c>
      <c r="H10" s="35">
        <v>388.06</v>
      </c>
      <c r="I10" s="45"/>
      <c r="J10" s="38">
        <f>H10*5%</f>
        <v>19.403000000000002</v>
      </c>
      <c r="K10" s="35">
        <v>0</v>
      </c>
      <c r="L10" s="38">
        <v>368.65699999999998</v>
      </c>
    </row>
    <row r="11" spans="1:12" ht="14.45" x14ac:dyDescent="0.3">
      <c r="A11" s="47"/>
      <c r="B11" s="47"/>
      <c r="C11" s="47"/>
      <c r="D11" s="47"/>
      <c r="E11" s="48"/>
      <c r="F11" s="42">
        <f>SUM(F10)</f>
        <v>464.01</v>
      </c>
      <c r="G11" s="42">
        <f>SUM(G10)</f>
        <v>75.95</v>
      </c>
      <c r="H11" s="43">
        <f>SUM(H10)</f>
        <v>388.06</v>
      </c>
      <c r="I11" s="43"/>
      <c r="J11" s="44">
        <f>SUM(J10)</f>
        <v>19.403000000000002</v>
      </c>
      <c r="K11" s="49">
        <f>SUM(K10)</f>
        <v>0</v>
      </c>
      <c r="L11" s="44">
        <f>SUM(L10)</f>
        <v>368.65699999999998</v>
      </c>
    </row>
    <row r="12" spans="1:12" ht="14.45" x14ac:dyDescent="0.3">
      <c r="A12" s="47"/>
      <c r="B12" s="47"/>
      <c r="C12" s="47"/>
      <c r="D12" s="47"/>
      <c r="E12" s="48"/>
      <c r="F12" s="42"/>
      <c r="G12" s="42"/>
      <c r="H12" s="43"/>
      <c r="I12" s="43"/>
      <c r="J12" s="44"/>
      <c r="K12" s="49"/>
      <c r="L12" s="44"/>
    </row>
    <row r="13" spans="1:12" ht="14.45" x14ac:dyDescent="0.3">
      <c r="A13" s="47"/>
      <c r="B13" s="47"/>
      <c r="C13" s="47"/>
      <c r="D13" s="47"/>
      <c r="E13" s="48"/>
      <c r="F13" s="42"/>
      <c r="G13" s="42"/>
      <c r="H13" s="43"/>
      <c r="I13" s="43"/>
      <c r="J13" s="44"/>
      <c r="K13" s="49"/>
      <c r="L13" s="44"/>
    </row>
    <row r="14" spans="1:12" ht="14.45" x14ac:dyDescent="0.3">
      <c r="A14" s="47"/>
      <c r="B14" s="47"/>
      <c r="C14" s="47"/>
      <c r="D14" s="47"/>
      <c r="E14" s="48"/>
      <c r="F14" s="42"/>
      <c r="G14" s="42"/>
      <c r="H14" s="43"/>
      <c r="I14" s="43"/>
      <c r="J14" s="44"/>
      <c r="K14" s="49"/>
      <c r="L14" s="44"/>
    </row>
    <row r="15" spans="1:12" ht="14.45" x14ac:dyDescent="0.3">
      <c r="A15" s="47"/>
      <c r="B15" s="47"/>
      <c r="C15" s="47"/>
      <c r="D15" s="47"/>
      <c r="E15" s="48"/>
      <c r="F15" s="42"/>
      <c r="G15" s="42"/>
      <c r="H15" s="43"/>
      <c r="I15" s="43">
        <f>H11-J11</f>
        <v>368.65699999999998</v>
      </c>
      <c r="J15" s="44"/>
      <c r="K15" s="49"/>
      <c r="L15" s="44"/>
    </row>
    <row r="16" spans="1:12" ht="14.45" x14ac:dyDescent="0.3">
      <c r="A16" s="47"/>
      <c r="B16" s="47"/>
      <c r="C16" s="47"/>
      <c r="D16" s="47"/>
      <c r="E16" s="48"/>
      <c r="F16" s="42"/>
      <c r="G16" s="42"/>
      <c r="H16" s="43"/>
      <c r="I16" s="43"/>
      <c r="J16" s="44"/>
      <c r="K16" s="49"/>
      <c r="L16" s="44"/>
    </row>
    <row r="17" spans="1:12" ht="14.45" x14ac:dyDescent="0.3">
      <c r="A17" s="47"/>
      <c r="B17" s="47"/>
      <c r="C17" s="47"/>
      <c r="D17" s="47"/>
      <c r="E17" s="48"/>
      <c r="F17" s="42"/>
      <c r="G17" s="42"/>
      <c r="H17" s="43"/>
      <c r="I17" s="43"/>
      <c r="J17" s="44"/>
      <c r="K17" s="49"/>
      <c r="L17" s="44"/>
    </row>
    <row r="18" spans="1:12" ht="14.45" x14ac:dyDescent="0.3">
      <c r="A18" s="29"/>
      <c r="B18" s="76" t="s">
        <v>124</v>
      </c>
      <c r="C18" s="77"/>
      <c r="D18" s="78"/>
      <c r="E18" s="79" t="s">
        <v>125</v>
      </c>
      <c r="F18" s="79"/>
      <c r="G18" s="79"/>
      <c r="H18" s="79"/>
      <c r="I18" s="79"/>
      <c r="J18" s="80"/>
      <c r="K18" s="30"/>
      <c r="L18" s="31"/>
    </row>
    <row r="19" spans="1:12" x14ac:dyDescent="0.25">
      <c r="A19" s="29"/>
      <c r="B19" s="70"/>
      <c r="C19" s="71"/>
      <c r="D19" s="72"/>
      <c r="E19" s="64"/>
      <c r="F19" s="65"/>
      <c r="G19" s="65"/>
      <c r="H19" s="65"/>
      <c r="I19" s="65"/>
      <c r="J19" s="66"/>
      <c r="K19" s="30"/>
      <c r="L19" s="31"/>
    </row>
    <row r="20" spans="1:12" x14ac:dyDescent="0.25">
      <c r="A20" s="28"/>
      <c r="B20" s="73"/>
      <c r="C20" s="74"/>
      <c r="D20" s="75"/>
      <c r="E20" s="67"/>
      <c r="F20" s="68"/>
      <c r="G20" s="68"/>
      <c r="H20" s="68"/>
      <c r="I20" s="68"/>
      <c r="J20" s="69"/>
      <c r="K20" s="28"/>
      <c r="L20" s="28"/>
    </row>
    <row r="21" spans="1:12" x14ac:dyDescent="0.25">
      <c r="A21" s="28"/>
      <c r="B21" s="51" t="s">
        <v>126</v>
      </c>
      <c r="C21" s="52"/>
      <c r="D21" s="53"/>
      <c r="E21" s="54" t="s">
        <v>127</v>
      </c>
      <c r="F21" s="55"/>
      <c r="G21" s="55"/>
      <c r="H21" s="55"/>
      <c r="I21" s="55"/>
      <c r="J21" s="56"/>
      <c r="K21" s="28"/>
      <c r="L21" s="28"/>
    </row>
  </sheetData>
  <mergeCells count="12">
    <mergeCell ref="B21:D21"/>
    <mergeCell ref="E18:J18"/>
    <mergeCell ref="E21:J21"/>
    <mergeCell ref="B18:D18"/>
    <mergeCell ref="B19:D20"/>
    <mergeCell ref="E19:J20"/>
    <mergeCell ref="A8:L8"/>
    <mergeCell ref="H9:I9"/>
    <mergeCell ref="A7:L7"/>
    <mergeCell ref="A4:L4"/>
    <mergeCell ref="A5:L5"/>
    <mergeCell ref="A6:L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/>
  </sheetViews>
  <sheetFormatPr baseColWidth="10" defaultRowHeight="15" x14ac:dyDescent="0.25"/>
  <sheetData>
    <row r="1" spans="1:6" x14ac:dyDescent="0.25">
      <c r="A1" t="s">
        <v>133</v>
      </c>
      <c r="B1">
        <f>+CAPPOUCLA!C9</f>
        <v>2186056</v>
      </c>
      <c r="C1" t="str">
        <f>+CAPPOUCLA!B9</f>
        <v>ALVARADO  PEDRO</v>
      </c>
      <c r="D1">
        <f>+CAPPOUCLA!H9</f>
        <v>56</v>
      </c>
      <c r="E1">
        <f>+CAPPOUCLA!J9</f>
        <v>2.8000000000000003</v>
      </c>
      <c r="F1">
        <f>+CAPPOUCLA!L9</f>
        <v>53.2</v>
      </c>
    </row>
    <row r="2" spans="1:6" x14ac:dyDescent="0.25">
      <c r="A2" t="s">
        <v>133</v>
      </c>
      <c r="B2">
        <f>+CAPPOUCLA!C10</f>
        <v>7419740</v>
      </c>
      <c r="C2" t="str">
        <f>+CAPPOUCLA!B10</f>
        <v>ALVARADO YULITH</v>
      </c>
      <c r="D2">
        <f>+CAPPOUCLA!H10</f>
        <v>324.89999999999998</v>
      </c>
      <c r="E2">
        <f>+CAPPOUCLA!J10</f>
        <v>16.245000000000001</v>
      </c>
      <c r="F2">
        <f>+CAPPOUCLA!L10</f>
        <v>308.65499999999997</v>
      </c>
    </row>
    <row r="3" spans="1:6" x14ac:dyDescent="0.25">
      <c r="A3" t="s">
        <v>133</v>
      </c>
      <c r="B3">
        <f>+CAPPOUCLA!C11</f>
        <v>7419740</v>
      </c>
      <c r="C3" t="str">
        <f>+CAPPOUCLA!B11</f>
        <v>ALVARADO YULITH</v>
      </c>
      <c r="D3">
        <f>+CAPPOUCLA!H11</f>
        <v>934.48</v>
      </c>
      <c r="E3">
        <f>+CAPPOUCLA!J11</f>
        <v>46.724000000000004</v>
      </c>
      <c r="F3">
        <f>+CAPPOUCLA!L11</f>
        <v>887.75599999999997</v>
      </c>
    </row>
    <row r="4" spans="1:6" x14ac:dyDescent="0.25">
      <c r="A4" t="s">
        <v>133</v>
      </c>
      <c r="B4">
        <f>+CAPPOUCLA!C12</f>
        <v>7419740</v>
      </c>
      <c r="C4" t="str">
        <f>+CAPPOUCLA!B12</f>
        <v>ALVARADO YULITH</v>
      </c>
      <c r="D4">
        <f>+CAPPOUCLA!H12</f>
        <v>985.38</v>
      </c>
      <c r="E4">
        <f>+CAPPOUCLA!J12</f>
        <v>49.269000000000005</v>
      </c>
      <c r="F4">
        <f>+CAPPOUCLA!L12</f>
        <v>936.11099999999999</v>
      </c>
    </row>
    <row r="5" spans="1:6" x14ac:dyDescent="0.25">
      <c r="A5" t="s">
        <v>133</v>
      </c>
      <c r="B5">
        <f>+CAPPOUCLA!C13</f>
        <v>7419740</v>
      </c>
      <c r="C5" t="str">
        <f>+CAPPOUCLA!B13</f>
        <v>ALVARADO YULITH</v>
      </c>
      <c r="D5">
        <f>+CAPPOUCLA!H13</f>
        <v>151.80000000000001</v>
      </c>
      <c r="E5">
        <f>+CAPPOUCLA!J13</f>
        <v>7.5900000000000007</v>
      </c>
      <c r="F5">
        <f>+CAPPOUCLA!L13</f>
        <v>151.80000000000001</v>
      </c>
    </row>
    <row r="6" spans="1:6" x14ac:dyDescent="0.25">
      <c r="A6" t="s">
        <v>133</v>
      </c>
      <c r="B6">
        <f>+CAPPOUCLA!C14</f>
        <v>12020535</v>
      </c>
      <c r="C6" t="str">
        <f>+CAPPOUCLA!B14</f>
        <v>ALVAREZ JOSE</v>
      </c>
      <c r="D6">
        <f>+CAPPOUCLA!H14</f>
        <v>309.5</v>
      </c>
      <c r="E6">
        <f>+CAPPOUCLA!J14</f>
        <v>15.475000000000001</v>
      </c>
      <c r="F6">
        <f>+CAPPOUCLA!L14</f>
        <v>294.02499999999998</v>
      </c>
    </row>
    <row r="7" spans="1:6" x14ac:dyDescent="0.25">
      <c r="A7" t="s">
        <v>133</v>
      </c>
      <c r="B7">
        <f>+CAPPOUCLA!C15</f>
        <v>12020535</v>
      </c>
      <c r="C7" t="str">
        <f>+CAPPOUCLA!B15</f>
        <v>ALVAREZ JOSE</v>
      </c>
      <c r="D7">
        <f>+CAPPOUCLA!H15</f>
        <v>152.19999999999999</v>
      </c>
      <c r="E7">
        <f>+CAPPOUCLA!J15</f>
        <v>7.6099999999999994</v>
      </c>
      <c r="F7">
        <f>+CAPPOUCLA!L15</f>
        <v>144.58999999999997</v>
      </c>
    </row>
    <row r="8" spans="1:6" x14ac:dyDescent="0.25">
      <c r="A8" t="s">
        <v>133</v>
      </c>
      <c r="B8">
        <f>+CAPPOUCLA!C16</f>
        <v>12701301</v>
      </c>
      <c r="C8" t="str">
        <f>+CAPPOUCLA!B16</f>
        <v>AMARO PABLO</v>
      </c>
      <c r="D8">
        <f>+CAPPOUCLA!H16</f>
        <v>301.91000000000003</v>
      </c>
      <c r="E8">
        <f>+CAPPOUCLA!J16</f>
        <v>15.095500000000001</v>
      </c>
      <c r="F8">
        <f>+CAPPOUCLA!L16</f>
        <v>286.81450000000001</v>
      </c>
    </row>
    <row r="9" spans="1:6" x14ac:dyDescent="0.25">
      <c r="A9" t="s">
        <v>133</v>
      </c>
      <c r="B9">
        <f>+CAPPOUCLA!C17</f>
        <v>7442445</v>
      </c>
      <c r="C9" t="str">
        <f>+CAPPOUCLA!B17</f>
        <v>CASTAÑEDA FRANCISCO</v>
      </c>
      <c r="D9">
        <f>+CAPPOUCLA!H17</f>
        <v>173.89</v>
      </c>
      <c r="E9">
        <f>+CAPPOUCLA!J17</f>
        <v>8.6944999999999997</v>
      </c>
      <c r="F9">
        <f>+CAPPOUCLA!L17</f>
        <v>165.19549999999998</v>
      </c>
    </row>
    <row r="10" spans="1:6" x14ac:dyDescent="0.25">
      <c r="A10" t="s">
        <v>133</v>
      </c>
      <c r="B10">
        <f>+CAPPOUCLA!C18</f>
        <v>7442445</v>
      </c>
      <c r="C10" t="str">
        <f>+CAPPOUCLA!B18</f>
        <v>CASTAÑEDA FRANCISCO</v>
      </c>
      <c r="D10">
        <f>+CAPPOUCLA!H18</f>
        <v>220.01</v>
      </c>
      <c r="E10">
        <f>+CAPPOUCLA!J18</f>
        <v>11.000500000000001</v>
      </c>
      <c r="F10">
        <f>+CAPPOUCLA!L18</f>
        <v>209.0095</v>
      </c>
    </row>
    <row r="11" spans="1:6" x14ac:dyDescent="0.25">
      <c r="A11" t="s">
        <v>133</v>
      </c>
      <c r="B11">
        <f>+CAPPOUCLA!C19</f>
        <v>7442445</v>
      </c>
      <c r="C11" t="str">
        <f>+CAPPOUCLA!B19</f>
        <v>CASTAÑEDA FRANCISCO</v>
      </c>
      <c r="D11">
        <f>+CAPPOUCLA!H19</f>
        <v>30.32</v>
      </c>
      <c r="E11">
        <f>+CAPPOUCLA!J19</f>
        <v>1.516</v>
      </c>
      <c r="F11">
        <f>+CAPPOUCLA!L19</f>
        <v>30.32</v>
      </c>
    </row>
    <row r="12" spans="1:6" x14ac:dyDescent="0.25">
      <c r="A12" t="s">
        <v>133</v>
      </c>
      <c r="B12">
        <f>+CAPPOUCLA!C20</f>
        <v>12314254</v>
      </c>
      <c r="C12" t="str">
        <f>+CAPPOUCLA!B20</f>
        <v>CASTELLANOS VICENTE</v>
      </c>
      <c r="D12">
        <f>+CAPPOUCLA!H20</f>
        <v>303.2</v>
      </c>
      <c r="E12">
        <f>+CAPPOUCLA!J20</f>
        <v>15.16</v>
      </c>
      <c r="F12">
        <f>+CAPPOUCLA!L20</f>
        <v>288.03999999999996</v>
      </c>
    </row>
    <row r="13" spans="1:6" x14ac:dyDescent="0.25">
      <c r="A13" t="s">
        <v>133</v>
      </c>
      <c r="B13">
        <f>+CAPPOUCLA!C21</f>
        <v>10846532</v>
      </c>
      <c r="C13" t="str">
        <f>+CAPPOUCLA!B21</f>
        <v>CASTILLO JOSE</v>
      </c>
      <c r="D13">
        <f>+CAPPOUCLA!H21</f>
        <v>592</v>
      </c>
      <c r="E13">
        <f>+CAPPOUCLA!J21</f>
        <v>29.6</v>
      </c>
      <c r="F13">
        <f>+CAPPOUCLA!L21</f>
        <v>562.4</v>
      </c>
    </row>
    <row r="14" spans="1:6" x14ac:dyDescent="0.25">
      <c r="A14" t="s">
        <v>133</v>
      </c>
      <c r="B14">
        <f>+CAPPOUCLA!C22</f>
        <v>7446644</v>
      </c>
      <c r="C14" t="str">
        <f>+CAPPOUCLA!B22</f>
        <v>CHIRINOS GREGORIO</v>
      </c>
      <c r="D14">
        <f>+CAPPOUCLA!H22</f>
        <v>471.25</v>
      </c>
      <c r="E14">
        <f>+CAPPOUCLA!J22</f>
        <v>23.5625</v>
      </c>
      <c r="F14">
        <f>+CAPPOUCLA!L22</f>
        <v>447.6875</v>
      </c>
    </row>
    <row r="15" spans="1:6" x14ac:dyDescent="0.25">
      <c r="A15" t="s">
        <v>133</v>
      </c>
      <c r="B15">
        <f>+CAPPOUCLA!C23</f>
        <v>7446644</v>
      </c>
      <c r="C15" t="str">
        <f>+CAPPOUCLA!B23</f>
        <v>CHIRINOS GREGORIO</v>
      </c>
      <c r="D15">
        <f>+CAPPOUCLA!H23</f>
        <v>258.60000000000002</v>
      </c>
      <c r="E15">
        <f>+CAPPOUCLA!J23</f>
        <v>12.930000000000001</v>
      </c>
      <c r="F15">
        <f>+CAPPOUCLA!L23</f>
        <v>245.67000000000002</v>
      </c>
    </row>
    <row r="16" spans="1:6" x14ac:dyDescent="0.25">
      <c r="A16" t="s">
        <v>133</v>
      </c>
      <c r="B16">
        <f>+CAPPOUCLA!C24</f>
        <v>9609337</v>
      </c>
      <c r="C16" t="str">
        <f>+CAPPOUCLA!B24</f>
        <v>CORRALES CLARISA</v>
      </c>
      <c r="D16">
        <f>+CAPPOUCLA!H24</f>
        <v>120.44</v>
      </c>
      <c r="E16">
        <f>+CAPPOUCLA!J24</f>
        <v>6.0220000000000002</v>
      </c>
      <c r="F16">
        <f>+CAPPOUCLA!L24</f>
        <v>114.41799999999999</v>
      </c>
    </row>
    <row r="17" spans="1:6" x14ac:dyDescent="0.25">
      <c r="A17" t="s">
        <v>133</v>
      </c>
      <c r="B17">
        <f>+CAPPOUCLA!C25</f>
        <v>9609337</v>
      </c>
      <c r="C17" t="str">
        <f>+CAPPOUCLA!B25</f>
        <v>CORRALES CLARISA</v>
      </c>
      <c r="D17">
        <f>+CAPPOUCLA!H25</f>
        <v>596.94000000000005</v>
      </c>
      <c r="E17">
        <f>+CAPPOUCLA!J25</f>
        <v>29.847000000000005</v>
      </c>
      <c r="F17">
        <f>+CAPPOUCLA!L25</f>
        <v>567.09300000000007</v>
      </c>
    </row>
    <row r="18" spans="1:6" x14ac:dyDescent="0.25">
      <c r="A18" t="s">
        <v>133</v>
      </c>
      <c r="B18">
        <f>+CAPPOUCLA!C26</f>
        <v>9544345</v>
      </c>
      <c r="C18" t="str">
        <f>+CAPPOUCLA!B26</f>
        <v>DUNO RIVERO EDGAR</v>
      </c>
      <c r="D18">
        <f>+CAPPOUCLA!H26</f>
        <v>101.58</v>
      </c>
      <c r="E18">
        <f>+CAPPOUCLA!J26</f>
        <v>5.0790000000000006</v>
      </c>
      <c r="F18">
        <f>+CAPPOUCLA!L26</f>
        <v>101.58</v>
      </c>
    </row>
    <row r="19" spans="1:6" x14ac:dyDescent="0.25">
      <c r="A19" t="s">
        <v>133</v>
      </c>
      <c r="B19">
        <f>+CAPPOUCLA!C27</f>
        <v>4727740</v>
      </c>
      <c r="C19" t="str">
        <f>+CAPPOUCLA!B27</f>
        <v>DURAN  ADRIAN</v>
      </c>
      <c r="D19">
        <f>+CAPPOUCLA!H27</f>
        <v>194.99</v>
      </c>
      <c r="E19">
        <f>+CAPPOUCLA!J27</f>
        <v>9.7495000000000012</v>
      </c>
      <c r="F19">
        <f>+CAPPOUCLA!L27</f>
        <v>194.99</v>
      </c>
    </row>
    <row r="20" spans="1:6" x14ac:dyDescent="0.25">
      <c r="A20" t="s">
        <v>133</v>
      </c>
      <c r="B20">
        <f>+CAPPOUCLA!C28</f>
        <v>11594236</v>
      </c>
      <c r="C20" t="str">
        <f>+CAPPOUCLA!B28</f>
        <v>DURAN JESUS</v>
      </c>
      <c r="D20">
        <f>+CAPPOUCLA!H28</f>
        <v>506.4</v>
      </c>
      <c r="E20">
        <f>+CAPPOUCLA!J28</f>
        <v>25.32</v>
      </c>
      <c r="F20">
        <f>+CAPPOUCLA!L28</f>
        <v>481.08</v>
      </c>
    </row>
    <row r="21" spans="1:6" x14ac:dyDescent="0.25">
      <c r="A21" t="s">
        <v>133</v>
      </c>
      <c r="B21">
        <f>+CAPPOUCLA!C29</f>
        <v>12023306</v>
      </c>
      <c r="C21" t="str">
        <f>+CAPPOUCLA!B29</f>
        <v>FRANCO  ALIBERT</v>
      </c>
      <c r="D21">
        <f>+CAPPOUCLA!H29</f>
        <v>728</v>
      </c>
      <c r="E21">
        <f>+CAPPOUCLA!J29</f>
        <v>36.4</v>
      </c>
      <c r="F21">
        <f>+CAPPOUCLA!L29</f>
        <v>691.6</v>
      </c>
    </row>
    <row r="22" spans="1:6" x14ac:dyDescent="0.25">
      <c r="A22" t="s">
        <v>133</v>
      </c>
      <c r="B22">
        <f>+CAPPOUCLA!C30</f>
        <v>3963688</v>
      </c>
      <c r="C22" t="str">
        <f>+CAPPOUCLA!B30</f>
        <v>GALLARDO  SILVERIO</v>
      </c>
      <c r="D22">
        <f>+CAPPOUCLA!H30</f>
        <v>104.8</v>
      </c>
      <c r="E22">
        <f>+CAPPOUCLA!J30</f>
        <v>5.24</v>
      </c>
      <c r="F22">
        <f>+CAPPOUCLA!L30</f>
        <v>99.56</v>
      </c>
    </row>
    <row r="23" spans="1:6" x14ac:dyDescent="0.25">
      <c r="A23" t="s">
        <v>133</v>
      </c>
      <c r="B23">
        <f>+CAPPOUCLA!C31</f>
        <v>3963688</v>
      </c>
      <c r="C23" t="str">
        <f>+CAPPOUCLA!B31</f>
        <v>GALLARDO  SILVERIO</v>
      </c>
      <c r="D23">
        <f>+CAPPOUCLA!H31</f>
        <v>438.73</v>
      </c>
      <c r="E23">
        <f>+CAPPOUCLA!J31</f>
        <v>21.936500000000002</v>
      </c>
      <c r="F23">
        <f>+CAPPOUCLA!L31</f>
        <v>416.79349999999999</v>
      </c>
    </row>
    <row r="24" spans="1:6" x14ac:dyDescent="0.25">
      <c r="A24" t="s">
        <v>133</v>
      </c>
      <c r="B24">
        <f>+CAPPOUCLA!C32</f>
        <v>3857667</v>
      </c>
      <c r="C24" t="str">
        <f>+CAPPOUCLA!B32</f>
        <v>GIL  PABLO</v>
      </c>
      <c r="D24">
        <f>+CAPPOUCLA!H32</f>
        <v>134.4</v>
      </c>
      <c r="E24">
        <f>+CAPPOUCLA!J32</f>
        <v>6.7200000000000006</v>
      </c>
      <c r="F24">
        <f>+CAPPOUCLA!L32</f>
        <v>127.68</v>
      </c>
    </row>
    <row r="25" spans="1:6" x14ac:dyDescent="0.25">
      <c r="A25" t="s">
        <v>133</v>
      </c>
      <c r="B25">
        <f>+CAPPOUCLA!C33</f>
        <v>12704927</v>
      </c>
      <c r="C25" t="str">
        <f>+CAPPOUCLA!B33</f>
        <v>GOMEZ MEDINA JUAN</v>
      </c>
      <c r="D25">
        <f>+CAPPOUCLA!H33</f>
        <v>249.24</v>
      </c>
      <c r="E25">
        <f>+CAPPOUCLA!J33</f>
        <v>12.462000000000002</v>
      </c>
      <c r="F25">
        <f>+CAPPOUCLA!L33</f>
        <v>236.77800000000002</v>
      </c>
    </row>
    <row r="26" spans="1:6" x14ac:dyDescent="0.25">
      <c r="A26" t="s">
        <v>133</v>
      </c>
      <c r="B26">
        <f>+CAPPOUCLA!C34</f>
        <v>10849907</v>
      </c>
      <c r="C26" t="str">
        <f>+CAPPOUCLA!B34</f>
        <v>GRATEROL JHONNY</v>
      </c>
      <c r="D26">
        <f>+CAPPOUCLA!H34</f>
        <v>410.12</v>
      </c>
      <c r="E26">
        <f>+CAPPOUCLA!J34</f>
        <v>20.506</v>
      </c>
      <c r="F26">
        <f>+CAPPOUCLA!L34</f>
        <v>389.61400000000003</v>
      </c>
    </row>
    <row r="27" spans="1:6" x14ac:dyDescent="0.25">
      <c r="A27" t="s">
        <v>133</v>
      </c>
      <c r="B27">
        <f>+CAPPOUCLA!C35</f>
        <v>9615964</v>
      </c>
      <c r="C27" t="str">
        <f>+CAPPOUCLA!B35</f>
        <v>GRATEROL YAILILI</v>
      </c>
      <c r="D27">
        <f>+CAPPOUCLA!H35</f>
        <v>882.78</v>
      </c>
      <c r="E27">
        <f>+CAPPOUCLA!J35</f>
        <v>44.139000000000003</v>
      </c>
      <c r="F27">
        <f>+CAPPOUCLA!L35</f>
        <v>838.64099999999996</v>
      </c>
    </row>
    <row r="28" spans="1:6" x14ac:dyDescent="0.25">
      <c r="A28" t="s">
        <v>133</v>
      </c>
      <c r="B28">
        <f>+CAPPOUCLA!C36</f>
        <v>9615964</v>
      </c>
      <c r="C28" t="str">
        <f>+CAPPOUCLA!B36</f>
        <v>GRATEROL YAILILI</v>
      </c>
      <c r="D28">
        <f>+CAPPOUCLA!H36</f>
        <v>337.75</v>
      </c>
      <c r="E28">
        <f>+CAPPOUCLA!J36</f>
        <v>16.887499999999999</v>
      </c>
      <c r="F28">
        <f>+CAPPOUCLA!L36</f>
        <v>320.86250000000001</v>
      </c>
    </row>
    <row r="29" spans="1:6" x14ac:dyDescent="0.25">
      <c r="A29" t="s">
        <v>133</v>
      </c>
      <c r="B29">
        <f>+CAPPOUCLA!C37</f>
        <v>9615964</v>
      </c>
      <c r="C29" t="str">
        <f>+CAPPOUCLA!B37</f>
        <v>GRATEROL YAILILI</v>
      </c>
      <c r="D29">
        <f>+CAPPOUCLA!H37</f>
        <v>274.89</v>
      </c>
      <c r="E29">
        <f>+CAPPOUCLA!J37</f>
        <v>13.7445</v>
      </c>
      <c r="F29">
        <f>+CAPPOUCLA!L37</f>
        <v>261.14549999999997</v>
      </c>
    </row>
    <row r="30" spans="1:6" x14ac:dyDescent="0.25">
      <c r="A30" t="s">
        <v>133</v>
      </c>
      <c r="B30">
        <f>+CAPPOUCLA!C38</f>
        <v>9615964</v>
      </c>
      <c r="C30" t="str">
        <f>+CAPPOUCLA!B38</f>
        <v>GRATEROL YAILILI</v>
      </c>
      <c r="D30">
        <f>+CAPPOUCLA!H38</f>
        <v>49.09</v>
      </c>
      <c r="E30">
        <f>+CAPPOUCLA!J38</f>
        <v>2.4545000000000003</v>
      </c>
      <c r="F30">
        <f>+CAPPOUCLA!L38</f>
        <v>49.09</v>
      </c>
    </row>
    <row r="31" spans="1:6" x14ac:dyDescent="0.25">
      <c r="A31" t="s">
        <v>133</v>
      </c>
      <c r="B31">
        <f>+CAPPOUCLA!C39</f>
        <v>7391472</v>
      </c>
      <c r="C31" t="str">
        <f>+CAPPOUCLA!B39</f>
        <v>GUANIPA  MIGUEL</v>
      </c>
      <c r="D31">
        <f>+CAPPOUCLA!H39</f>
        <v>189.11</v>
      </c>
      <c r="E31">
        <f>+CAPPOUCLA!J39</f>
        <v>9.4555000000000007</v>
      </c>
      <c r="F31">
        <f>+CAPPOUCLA!L39</f>
        <v>179.65450000000001</v>
      </c>
    </row>
    <row r="32" spans="1:6" x14ac:dyDescent="0.25">
      <c r="A32" t="s">
        <v>133</v>
      </c>
      <c r="B32">
        <f>+CAPPOUCLA!C40</f>
        <v>7426046</v>
      </c>
      <c r="C32" t="str">
        <f>+CAPPOUCLA!B40</f>
        <v>GUASIMUCARO HENRY</v>
      </c>
      <c r="D32">
        <f>+CAPPOUCLA!H40</f>
        <v>216</v>
      </c>
      <c r="E32">
        <f>+CAPPOUCLA!J40</f>
        <v>10.8</v>
      </c>
      <c r="F32">
        <f>+CAPPOUCLA!L40</f>
        <v>205.2</v>
      </c>
    </row>
    <row r="33" spans="1:6" x14ac:dyDescent="0.25">
      <c r="A33" t="s">
        <v>133</v>
      </c>
      <c r="B33">
        <f>+CAPPOUCLA!C41</f>
        <v>7309375</v>
      </c>
      <c r="C33" t="str">
        <f>+CAPPOUCLA!B41</f>
        <v>GUERRA  JOSE</v>
      </c>
      <c r="D33">
        <f>+CAPPOUCLA!H41</f>
        <v>160</v>
      </c>
      <c r="E33">
        <f>+CAPPOUCLA!J41</f>
        <v>8</v>
      </c>
      <c r="F33">
        <f>+CAPPOUCLA!L41</f>
        <v>152</v>
      </c>
    </row>
    <row r="34" spans="1:6" x14ac:dyDescent="0.25">
      <c r="A34" t="s">
        <v>133</v>
      </c>
      <c r="B34">
        <f>+CAPPOUCLA!C42</f>
        <v>7309375</v>
      </c>
      <c r="C34" t="str">
        <f>+CAPPOUCLA!B42</f>
        <v>GUERRA  JOSE</v>
      </c>
      <c r="D34">
        <f>+CAPPOUCLA!H42</f>
        <v>80.11</v>
      </c>
      <c r="E34">
        <f>+CAPPOUCLA!J42</f>
        <v>4.0055000000000005</v>
      </c>
      <c r="F34">
        <f>+CAPPOUCLA!L42</f>
        <v>76.104500000000002</v>
      </c>
    </row>
    <row r="35" spans="1:6" x14ac:dyDescent="0.25">
      <c r="A35" t="s">
        <v>133</v>
      </c>
      <c r="B35">
        <f>+CAPPOUCLA!C43</f>
        <v>1239070</v>
      </c>
      <c r="C35" t="str">
        <f>+CAPPOUCLA!B43</f>
        <v>GUEVARA  JOSE</v>
      </c>
      <c r="D35">
        <f>+CAPPOUCLA!H43</f>
        <v>172.69</v>
      </c>
      <c r="E35">
        <f>+CAPPOUCLA!J43</f>
        <v>8.634500000000001</v>
      </c>
      <c r="F35">
        <f>+CAPPOUCLA!L43</f>
        <v>164.05549999999999</v>
      </c>
    </row>
    <row r="36" spans="1:6" x14ac:dyDescent="0.25">
      <c r="A36" t="s">
        <v>133</v>
      </c>
      <c r="B36">
        <f>+CAPPOUCLA!C44</f>
        <v>7415285</v>
      </c>
      <c r="C36" t="str">
        <f>+CAPPOUCLA!B44</f>
        <v>HERNANDEZ  CARLOS</v>
      </c>
      <c r="D36">
        <f>+CAPPOUCLA!H44</f>
        <v>836.58</v>
      </c>
      <c r="E36">
        <f>+CAPPOUCLA!J44</f>
        <v>41.829000000000008</v>
      </c>
      <c r="F36">
        <f>+CAPPOUCLA!L44</f>
        <v>794.75099999999998</v>
      </c>
    </row>
    <row r="37" spans="1:6" x14ac:dyDescent="0.25">
      <c r="A37" t="s">
        <v>133</v>
      </c>
      <c r="B37">
        <f>+CAPPOUCLA!C45</f>
        <v>13188137</v>
      </c>
      <c r="C37" t="str">
        <f>+CAPPOUCLA!B45</f>
        <v>HERNANDEZ HECTOR</v>
      </c>
      <c r="D37">
        <f>+CAPPOUCLA!H45</f>
        <v>444.09</v>
      </c>
      <c r="E37">
        <f>+CAPPOUCLA!J45</f>
        <v>22.204499999999999</v>
      </c>
      <c r="F37">
        <f>+CAPPOUCLA!L45</f>
        <v>421.88549999999998</v>
      </c>
    </row>
    <row r="38" spans="1:6" x14ac:dyDescent="0.25">
      <c r="A38" t="s">
        <v>133</v>
      </c>
      <c r="B38">
        <f>+CAPPOUCLA!C46</f>
        <v>9614364</v>
      </c>
      <c r="C38" t="str">
        <f>+CAPPOUCLA!B46</f>
        <v>HERNANDEZ JORGE</v>
      </c>
      <c r="D38">
        <f>+CAPPOUCLA!H46</f>
        <v>136</v>
      </c>
      <c r="E38">
        <f>+CAPPOUCLA!J46</f>
        <v>6.8000000000000007</v>
      </c>
      <c r="F38">
        <f>+CAPPOUCLA!L46</f>
        <v>129.19999999999999</v>
      </c>
    </row>
    <row r="39" spans="1:6" x14ac:dyDescent="0.25">
      <c r="A39" t="s">
        <v>133</v>
      </c>
      <c r="B39">
        <f>+CAPPOUCLA!C47</f>
        <v>4731494</v>
      </c>
      <c r="C39" t="str">
        <f>+CAPPOUCLA!B47</f>
        <v>JIMENEZ EDGAR SOLANO</v>
      </c>
      <c r="D39">
        <f>+CAPPOUCLA!H47</f>
        <v>134.4</v>
      </c>
      <c r="E39">
        <f>+CAPPOUCLA!J47</f>
        <v>6.7200000000000006</v>
      </c>
      <c r="F39">
        <f>+CAPPOUCLA!L47</f>
        <v>127.68</v>
      </c>
    </row>
    <row r="40" spans="1:6" x14ac:dyDescent="0.25">
      <c r="A40" t="s">
        <v>133</v>
      </c>
      <c r="B40">
        <f>+CAPPOUCLA!C48</f>
        <v>4731494</v>
      </c>
      <c r="C40" t="str">
        <f>+CAPPOUCLA!B48</f>
        <v>JIMENEZ EDGAR SOLANO</v>
      </c>
      <c r="D40">
        <f>+CAPPOUCLA!H48</f>
        <v>36.409999999999997</v>
      </c>
      <c r="E40">
        <f>+CAPPOUCLA!J48</f>
        <v>1.8205</v>
      </c>
      <c r="F40">
        <f>+CAPPOUCLA!L48</f>
        <v>34.589499999999994</v>
      </c>
    </row>
    <row r="41" spans="1:6" x14ac:dyDescent="0.25">
      <c r="A41" t="s">
        <v>133</v>
      </c>
      <c r="B41">
        <f>+CAPPOUCLA!C49</f>
        <v>13843775</v>
      </c>
      <c r="C41" t="str">
        <f>+CAPPOUCLA!B49</f>
        <v>JUAREZ NESTOR</v>
      </c>
      <c r="D41">
        <f>+CAPPOUCLA!H49</f>
        <v>1133.79</v>
      </c>
      <c r="E41">
        <f>+CAPPOUCLA!J49</f>
        <v>56.689500000000002</v>
      </c>
      <c r="F41">
        <f>+CAPPOUCLA!L49</f>
        <v>1077.1005</v>
      </c>
    </row>
    <row r="42" spans="1:6" x14ac:dyDescent="0.25">
      <c r="A42" t="s">
        <v>133</v>
      </c>
      <c r="B42">
        <f>+CAPPOUCLA!C50</f>
        <v>13843775</v>
      </c>
      <c r="C42" t="str">
        <f>+CAPPOUCLA!B50</f>
        <v>JUAREZ NESTOR</v>
      </c>
      <c r="D42">
        <f>+CAPPOUCLA!H50</f>
        <v>427.2</v>
      </c>
      <c r="E42">
        <f>+CAPPOUCLA!J50</f>
        <v>21.36</v>
      </c>
      <c r="F42">
        <f>+CAPPOUCLA!L50</f>
        <v>405.84</v>
      </c>
    </row>
    <row r="43" spans="1:6" x14ac:dyDescent="0.25">
      <c r="A43" t="s">
        <v>133</v>
      </c>
      <c r="B43">
        <f>+CAPPOUCLA!C51</f>
        <v>13868786</v>
      </c>
      <c r="C43" t="str">
        <f>+CAPPOUCLA!B51</f>
        <v>LARA PEREZ VIANNYS</v>
      </c>
      <c r="D43">
        <f>+CAPPOUCLA!H51</f>
        <v>361</v>
      </c>
      <c r="E43">
        <f>+CAPPOUCLA!J51</f>
        <v>18.05</v>
      </c>
      <c r="F43">
        <f>+CAPPOUCLA!L51</f>
        <v>342.95</v>
      </c>
    </row>
    <row r="44" spans="1:6" x14ac:dyDescent="0.25">
      <c r="A44" t="s">
        <v>133</v>
      </c>
      <c r="B44">
        <f>+CAPPOUCLA!C52</f>
        <v>10772668</v>
      </c>
      <c r="C44" t="str">
        <f>+CAPPOUCLA!B52</f>
        <v>LINAREZ MARLON</v>
      </c>
      <c r="D44">
        <f>+CAPPOUCLA!H52</f>
        <v>327.38</v>
      </c>
      <c r="E44">
        <f>+CAPPOUCLA!J52</f>
        <v>16.369</v>
      </c>
      <c r="F44">
        <f>+CAPPOUCLA!L52</f>
        <v>311.01099999999997</v>
      </c>
    </row>
    <row r="45" spans="1:6" x14ac:dyDescent="0.25">
      <c r="A45" t="s">
        <v>133</v>
      </c>
      <c r="B45">
        <f>+CAPPOUCLA!C53</f>
        <v>7401853</v>
      </c>
      <c r="C45" t="str">
        <f>+CAPPOUCLA!B53</f>
        <v>LOPEZ ANA</v>
      </c>
      <c r="D45">
        <f>+CAPPOUCLA!H53</f>
        <v>430.89</v>
      </c>
      <c r="E45">
        <f>+CAPPOUCLA!J53</f>
        <v>21.544499999999999</v>
      </c>
      <c r="F45">
        <f>+CAPPOUCLA!L53</f>
        <v>409.34550000000002</v>
      </c>
    </row>
    <row r="46" spans="1:6" x14ac:dyDescent="0.25">
      <c r="A46" t="s">
        <v>133</v>
      </c>
      <c r="B46">
        <f>+CAPPOUCLA!C54</f>
        <v>7401853</v>
      </c>
      <c r="C46" t="str">
        <f>+CAPPOUCLA!B54</f>
        <v>LOPEZ ANA</v>
      </c>
      <c r="D46">
        <f>+CAPPOUCLA!H54</f>
        <v>529.55999999999995</v>
      </c>
      <c r="E46">
        <f>+CAPPOUCLA!J54</f>
        <v>26.477999999999998</v>
      </c>
      <c r="F46">
        <f>+CAPPOUCLA!L54</f>
        <v>503.08199999999994</v>
      </c>
    </row>
    <row r="47" spans="1:6" x14ac:dyDescent="0.25">
      <c r="A47" t="s">
        <v>133</v>
      </c>
      <c r="B47">
        <f>+CAPPOUCLA!C55</f>
        <v>7401853</v>
      </c>
      <c r="C47" t="str">
        <f>+CAPPOUCLA!B55</f>
        <v>LOPEZ ANA</v>
      </c>
      <c r="D47">
        <f>+CAPPOUCLA!H55</f>
        <v>19.78</v>
      </c>
      <c r="E47">
        <f>+CAPPOUCLA!J55</f>
        <v>0.9890000000000001</v>
      </c>
      <c r="F47">
        <f>+CAPPOUCLA!L55</f>
        <v>19.78</v>
      </c>
    </row>
    <row r="48" spans="1:6" x14ac:dyDescent="0.25">
      <c r="A48" t="s">
        <v>133</v>
      </c>
      <c r="B48">
        <f>+CAPPOUCLA!C56</f>
        <v>4238916</v>
      </c>
      <c r="C48" t="str">
        <f>+CAPPOUCLA!B56</f>
        <v>LUCENA CARMEN</v>
      </c>
      <c r="D48">
        <f>+CAPPOUCLA!H56</f>
        <v>183.01</v>
      </c>
      <c r="E48">
        <f>+CAPPOUCLA!J56</f>
        <v>9.1504999999999992</v>
      </c>
      <c r="F48">
        <f>+CAPPOUCLA!L56</f>
        <v>173.8595</v>
      </c>
    </row>
    <row r="49" spans="1:6" x14ac:dyDescent="0.25">
      <c r="A49" t="s">
        <v>133</v>
      </c>
      <c r="B49">
        <f>+CAPPOUCLA!C57</f>
        <v>7406353</v>
      </c>
      <c r="C49" t="str">
        <f>+CAPPOUCLA!B57</f>
        <v>MARTINEZ  TIBERIO</v>
      </c>
      <c r="D49">
        <f>+CAPPOUCLA!H57</f>
        <v>569.6</v>
      </c>
      <c r="E49">
        <f>+CAPPOUCLA!J57</f>
        <v>28.480000000000004</v>
      </c>
      <c r="F49">
        <f>+CAPPOUCLA!L57</f>
        <v>541.12</v>
      </c>
    </row>
    <row r="50" spans="1:6" x14ac:dyDescent="0.25">
      <c r="A50" t="s">
        <v>133</v>
      </c>
      <c r="B50">
        <f>+CAPPOUCLA!C58</f>
        <v>4378236</v>
      </c>
      <c r="C50" t="str">
        <f>+CAPPOUCLA!B58</f>
        <v>MENDOZA  RAFAEL</v>
      </c>
      <c r="D50">
        <f>+CAPPOUCLA!H58</f>
        <v>449.07</v>
      </c>
      <c r="E50">
        <f>+CAPPOUCLA!J58</f>
        <v>22.453500000000002</v>
      </c>
      <c r="F50">
        <f>+CAPPOUCLA!L58</f>
        <v>426.61649999999997</v>
      </c>
    </row>
    <row r="51" spans="1:6" x14ac:dyDescent="0.25">
      <c r="A51" t="s">
        <v>133</v>
      </c>
      <c r="B51">
        <f>+CAPPOUCLA!C59</f>
        <v>4378236</v>
      </c>
      <c r="C51" t="str">
        <f>+CAPPOUCLA!B59</f>
        <v>MENDOZA  RAFAEL</v>
      </c>
      <c r="D51">
        <f>+CAPPOUCLA!H59</f>
        <v>259.39999999999998</v>
      </c>
      <c r="E51">
        <f>+CAPPOUCLA!J59</f>
        <v>12.969999999999999</v>
      </c>
      <c r="F51">
        <f>+CAPPOUCLA!L59</f>
        <v>246.42999999999998</v>
      </c>
    </row>
    <row r="52" spans="1:6" x14ac:dyDescent="0.25">
      <c r="A52" t="s">
        <v>133</v>
      </c>
      <c r="B52">
        <f>+CAPPOUCLA!C60</f>
        <v>7388080</v>
      </c>
      <c r="C52" t="str">
        <f>+CAPPOUCLA!B60</f>
        <v>ORELLANA FREDDY</v>
      </c>
      <c r="D52">
        <f>+CAPPOUCLA!H60</f>
        <v>393.27</v>
      </c>
      <c r="E52">
        <f>+CAPPOUCLA!J60</f>
        <v>19.663499999999999</v>
      </c>
      <c r="F52">
        <f>+CAPPOUCLA!L60</f>
        <v>373.60649999999998</v>
      </c>
    </row>
    <row r="53" spans="1:6" x14ac:dyDescent="0.25">
      <c r="A53" t="s">
        <v>133</v>
      </c>
      <c r="B53">
        <f>+CAPPOUCLA!C61</f>
        <v>13785661</v>
      </c>
      <c r="C53" t="str">
        <f>+CAPPOUCLA!B61</f>
        <v>ORTIZ JAIRO</v>
      </c>
      <c r="D53">
        <f>+CAPPOUCLA!H61</f>
        <v>234.91</v>
      </c>
      <c r="E53">
        <f>+CAPPOUCLA!J61</f>
        <v>11.7455</v>
      </c>
      <c r="F53">
        <f>+CAPPOUCLA!L61</f>
        <v>234.91</v>
      </c>
    </row>
    <row r="54" spans="1:6" x14ac:dyDescent="0.25">
      <c r="A54" t="s">
        <v>133</v>
      </c>
      <c r="B54">
        <f>+CAPPOUCLA!C62</f>
        <v>13785661</v>
      </c>
      <c r="C54" t="str">
        <f>+CAPPOUCLA!B62</f>
        <v>ORTIZ JAIRO</v>
      </c>
      <c r="D54">
        <f>+CAPPOUCLA!H62</f>
        <v>125.6</v>
      </c>
      <c r="E54">
        <f>+CAPPOUCLA!J62</f>
        <v>6.28</v>
      </c>
      <c r="F54">
        <f>+CAPPOUCLA!L62</f>
        <v>119.32</v>
      </c>
    </row>
    <row r="55" spans="1:6" x14ac:dyDescent="0.25">
      <c r="A55" t="s">
        <v>133</v>
      </c>
      <c r="B55">
        <f>+CAPPOUCLA!C63</f>
        <v>3877925</v>
      </c>
      <c r="C55" t="str">
        <f>+CAPPOUCLA!B63</f>
        <v>PACHECO  FELICIANO</v>
      </c>
      <c r="D55">
        <f>+CAPPOUCLA!H63</f>
        <v>528.63</v>
      </c>
      <c r="E55">
        <f>+CAPPOUCLA!J63</f>
        <v>26.4315</v>
      </c>
      <c r="F55">
        <f>+CAPPOUCLA!L63</f>
        <v>502.19849999999997</v>
      </c>
    </row>
    <row r="56" spans="1:6" x14ac:dyDescent="0.25">
      <c r="A56" t="s">
        <v>133</v>
      </c>
      <c r="B56">
        <f>+CAPPOUCLA!C64</f>
        <v>7395742</v>
      </c>
      <c r="C56" t="str">
        <f>+CAPPOUCLA!B64</f>
        <v>PARRA GLADYS</v>
      </c>
      <c r="D56">
        <f>+CAPPOUCLA!H64</f>
        <v>344.47</v>
      </c>
      <c r="E56">
        <f>+CAPPOUCLA!J64</f>
        <v>17.223500000000001</v>
      </c>
      <c r="F56">
        <f>+CAPPOUCLA!L64</f>
        <v>327.24650000000003</v>
      </c>
    </row>
    <row r="57" spans="1:6" x14ac:dyDescent="0.25">
      <c r="A57" t="s">
        <v>133</v>
      </c>
      <c r="B57">
        <f>+CAPPOUCLA!C65</f>
        <v>7395742</v>
      </c>
      <c r="C57" t="str">
        <f>+CAPPOUCLA!B65</f>
        <v>PARRA GLADYS</v>
      </c>
      <c r="D57">
        <f>+CAPPOUCLA!H65</f>
        <v>17.61</v>
      </c>
      <c r="E57">
        <f>+CAPPOUCLA!J65</f>
        <v>0.88050000000000006</v>
      </c>
      <c r="F57">
        <f>+CAPPOUCLA!L65</f>
        <v>17.61</v>
      </c>
    </row>
    <row r="58" spans="1:6" x14ac:dyDescent="0.25">
      <c r="A58" t="s">
        <v>133</v>
      </c>
      <c r="B58">
        <f>+CAPPOUCLA!C66</f>
        <v>11783201</v>
      </c>
      <c r="C58" t="str">
        <f>+CAPPOUCLA!B66</f>
        <v>PEREZ ALEXANDER</v>
      </c>
      <c r="D58">
        <f>+CAPPOUCLA!H66</f>
        <v>243.78</v>
      </c>
      <c r="E58">
        <f>+CAPPOUCLA!J66</f>
        <v>12.189</v>
      </c>
      <c r="F58">
        <f>+CAPPOUCLA!L66</f>
        <v>231.59100000000001</v>
      </c>
    </row>
    <row r="59" spans="1:6" x14ac:dyDescent="0.25">
      <c r="A59" t="s">
        <v>133</v>
      </c>
      <c r="B59">
        <f>+CAPPOUCLA!C67</f>
        <v>6573855</v>
      </c>
      <c r="C59" t="str">
        <f>+CAPPOUCLA!B67</f>
        <v>PEREZ AVILA LUIS</v>
      </c>
      <c r="D59">
        <f>+CAPPOUCLA!H67</f>
        <v>124.8</v>
      </c>
      <c r="E59">
        <f>+CAPPOUCLA!J67</f>
        <v>6.24</v>
      </c>
      <c r="F59">
        <f>+CAPPOUCLA!L67</f>
        <v>118.56</v>
      </c>
    </row>
    <row r="60" spans="1:6" x14ac:dyDescent="0.25">
      <c r="A60" t="s">
        <v>133</v>
      </c>
      <c r="B60">
        <f>+CAPPOUCLA!C68</f>
        <v>12702273</v>
      </c>
      <c r="C60" t="str">
        <f>+CAPPOUCLA!B68</f>
        <v>PEROZO RAFAEL</v>
      </c>
      <c r="D60">
        <f>+CAPPOUCLA!H68</f>
        <v>302.31</v>
      </c>
      <c r="E60">
        <f>+CAPPOUCLA!J68</f>
        <v>15.115500000000001</v>
      </c>
      <c r="F60">
        <f>+CAPPOUCLA!L68</f>
        <v>287.19450000000001</v>
      </c>
    </row>
    <row r="61" spans="1:6" x14ac:dyDescent="0.25">
      <c r="A61" t="s">
        <v>133</v>
      </c>
      <c r="B61">
        <f>+CAPPOUCLA!C69</f>
        <v>12702273</v>
      </c>
      <c r="C61" t="str">
        <f>+CAPPOUCLA!B69</f>
        <v>PEROZO RAFAEL</v>
      </c>
      <c r="D61">
        <f>+CAPPOUCLA!H69</f>
        <v>265.60000000000002</v>
      </c>
      <c r="E61">
        <f>+CAPPOUCLA!J69</f>
        <v>13.280000000000001</v>
      </c>
      <c r="F61">
        <f>+CAPPOUCLA!L69</f>
        <v>252.32000000000002</v>
      </c>
    </row>
    <row r="62" spans="1:6" x14ac:dyDescent="0.25">
      <c r="A62" t="s">
        <v>133</v>
      </c>
      <c r="B62">
        <f>+CAPPOUCLA!C70</f>
        <v>12698965</v>
      </c>
      <c r="C62" t="str">
        <f>+CAPPOUCLA!B70</f>
        <v>PIÑA  DAISY</v>
      </c>
      <c r="D62">
        <f>+CAPPOUCLA!H70</f>
        <v>400.03</v>
      </c>
      <c r="E62">
        <f>+CAPPOUCLA!J70</f>
        <v>20.0015</v>
      </c>
      <c r="F62">
        <f>+CAPPOUCLA!L70</f>
        <v>380.02849999999995</v>
      </c>
    </row>
    <row r="63" spans="1:6" x14ac:dyDescent="0.25">
      <c r="A63" t="s">
        <v>133</v>
      </c>
      <c r="B63">
        <f>+CAPPOUCLA!C71</f>
        <v>12698965</v>
      </c>
      <c r="C63" t="str">
        <f>+CAPPOUCLA!B71</f>
        <v>PIÑA  DAISY</v>
      </c>
      <c r="D63">
        <f>+CAPPOUCLA!H71</f>
        <v>102.84</v>
      </c>
      <c r="E63">
        <f>+CAPPOUCLA!J71</f>
        <v>5.1420000000000003</v>
      </c>
      <c r="F63">
        <f>+CAPPOUCLA!L71</f>
        <v>97.698000000000008</v>
      </c>
    </row>
    <row r="64" spans="1:6" x14ac:dyDescent="0.25">
      <c r="A64" t="s">
        <v>133</v>
      </c>
      <c r="B64">
        <f>+CAPPOUCLA!C72</f>
        <v>1926999</v>
      </c>
      <c r="C64" t="str">
        <f>+CAPPOUCLA!B72</f>
        <v>RAMOS A. BRAULIO</v>
      </c>
      <c r="D64">
        <f>+CAPPOUCLA!H72</f>
        <v>224</v>
      </c>
      <c r="E64">
        <f>+CAPPOUCLA!J72</f>
        <v>11.200000000000001</v>
      </c>
      <c r="F64">
        <f>+CAPPOUCLA!L72</f>
        <v>212.8</v>
      </c>
    </row>
    <row r="65" spans="1:6" x14ac:dyDescent="0.25">
      <c r="A65" t="s">
        <v>133</v>
      </c>
      <c r="B65">
        <f>+CAPPOUCLA!C73</f>
        <v>2741170</v>
      </c>
      <c r="C65" t="str">
        <f>+CAPPOUCLA!B73</f>
        <v>RODRIGUEZ  OSWALDO</v>
      </c>
      <c r="D65">
        <f>+CAPPOUCLA!H73</f>
        <v>1568.8</v>
      </c>
      <c r="E65">
        <f>+CAPPOUCLA!J73</f>
        <v>78.44</v>
      </c>
      <c r="F65">
        <f>+CAPPOUCLA!L73</f>
        <v>1490.36</v>
      </c>
    </row>
    <row r="66" spans="1:6" x14ac:dyDescent="0.25">
      <c r="A66" t="s">
        <v>133</v>
      </c>
      <c r="B66">
        <f>+CAPPOUCLA!C74</f>
        <v>2741170</v>
      </c>
      <c r="C66" t="str">
        <f>+CAPPOUCLA!B74</f>
        <v>RODRIGUEZ  OSWALDO</v>
      </c>
      <c r="D66">
        <f>+CAPPOUCLA!H74</f>
        <v>95.84</v>
      </c>
      <c r="E66">
        <f>+CAPPOUCLA!J74</f>
        <v>4.7920000000000007</v>
      </c>
      <c r="F66">
        <f>+CAPPOUCLA!L74</f>
        <v>91.048000000000002</v>
      </c>
    </row>
    <row r="67" spans="1:6" x14ac:dyDescent="0.25">
      <c r="A67" t="s">
        <v>133</v>
      </c>
      <c r="B67">
        <f>+CAPPOUCLA!C75</f>
        <v>7373089</v>
      </c>
      <c r="C67" t="str">
        <f>+CAPPOUCLA!B75</f>
        <v>SALAS FELIX</v>
      </c>
      <c r="D67">
        <f>+CAPPOUCLA!H75</f>
        <v>539.53</v>
      </c>
      <c r="E67">
        <f>+CAPPOUCLA!J75</f>
        <v>26.976500000000001</v>
      </c>
      <c r="F67">
        <f>+CAPPOUCLA!L75</f>
        <v>512.55349999999999</v>
      </c>
    </row>
    <row r="68" spans="1:6" x14ac:dyDescent="0.25">
      <c r="A68" t="s">
        <v>133</v>
      </c>
      <c r="B68">
        <f>+CAPPOUCLA!C76</f>
        <v>14293690</v>
      </c>
      <c r="C68" t="str">
        <f>+CAPPOUCLA!B76</f>
        <v xml:space="preserve">SANCHEZ GLENDA </v>
      </c>
      <c r="D68">
        <f>+CAPPOUCLA!H76</f>
        <v>571.86</v>
      </c>
      <c r="E68">
        <f>+CAPPOUCLA!J76</f>
        <v>28.593000000000004</v>
      </c>
      <c r="F68">
        <f>+CAPPOUCLA!L76</f>
        <v>543.26700000000005</v>
      </c>
    </row>
    <row r="69" spans="1:6" x14ac:dyDescent="0.25">
      <c r="A69" t="s">
        <v>133</v>
      </c>
      <c r="B69">
        <f>+CAPPOUCLA!C77</f>
        <v>11879419</v>
      </c>
      <c r="C69" t="str">
        <f>+CAPPOUCLA!B77</f>
        <v>SILVA GARCIA RAFAEL</v>
      </c>
      <c r="D69">
        <f>+CAPPOUCLA!H77</f>
        <v>900.65</v>
      </c>
      <c r="E69">
        <f>+CAPPOUCLA!J77</f>
        <v>45.032499999999999</v>
      </c>
      <c r="F69">
        <f>+CAPPOUCLA!L77</f>
        <v>855.61749999999995</v>
      </c>
    </row>
    <row r="70" spans="1:6" x14ac:dyDescent="0.25">
      <c r="A70" t="s">
        <v>133</v>
      </c>
      <c r="B70">
        <f>+CAPPOUCLA!C78</f>
        <v>11879419</v>
      </c>
      <c r="C70" t="str">
        <f>+CAPPOUCLA!B78</f>
        <v>SILVA GARCIA RAFAEL</v>
      </c>
      <c r="D70">
        <f>+CAPPOUCLA!H78</f>
        <v>548.94000000000005</v>
      </c>
      <c r="E70">
        <f>+CAPPOUCLA!J78</f>
        <v>27.447000000000003</v>
      </c>
      <c r="F70">
        <f>+CAPPOUCLA!L78</f>
        <v>521.49300000000005</v>
      </c>
    </row>
    <row r="71" spans="1:6" x14ac:dyDescent="0.25">
      <c r="A71" t="s">
        <v>133</v>
      </c>
      <c r="B71">
        <f>+CAPPOUCLA!C79</f>
        <v>7322780</v>
      </c>
      <c r="C71" t="str">
        <f>+CAPPOUCLA!B79</f>
        <v>SUAREZ  NAURO</v>
      </c>
      <c r="D71">
        <f>+CAPPOUCLA!H79</f>
        <v>88.8</v>
      </c>
      <c r="E71">
        <f>+CAPPOUCLA!J79</f>
        <v>4.4400000000000004</v>
      </c>
      <c r="F71">
        <f>+CAPPOUCLA!L79</f>
        <v>84.36</v>
      </c>
    </row>
    <row r="72" spans="1:6" x14ac:dyDescent="0.25">
      <c r="A72" t="s">
        <v>133</v>
      </c>
      <c r="B72">
        <f>+CAPPOUCLA!C80</f>
        <v>15668851</v>
      </c>
      <c r="C72" t="str">
        <f>+CAPPOUCLA!B80</f>
        <v>URETA JORGE V.</v>
      </c>
      <c r="D72">
        <f>+CAPPOUCLA!H80</f>
        <v>59</v>
      </c>
      <c r="E72">
        <f>+CAPPOUCLA!J80</f>
        <v>2.95</v>
      </c>
      <c r="F72">
        <f>+CAPPOUCLA!L80</f>
        <v>56.05</v>
      </c>
    </row>
    <row r="73" spans="1:6" x14ac:dyDescent="0.25">
      <c r="A73" t="s">
        <v>133</v>
      </c>
      <c r="B73">
        <f>+CAPPOUCLA!C81</f>
        <v>9066082</v>
      </c>
      <c r="C73" t="str">
        <f>+CAPPOUCLA!B81</f>
        <v>VALDERRAMA FRANCISCO</v>
      </c>
      <c r="D73">
        <f>+CAPPOUCLA!H81</f>
        <v>227.55</v>
      </c>
      <c r="E73">
        <f>+CAPPOUCLA!J81</f>
        <v>11.377500000000001</v>
      </c>
      <c r="F73">
        <f>+CAPPOUCLA!L81</f>
        <v>216.17250000000001</v>
      </c>
    </row>
    <row r="74" spans="1:6" x14ac:dyDescent="0.25">
      <c r="A74" t="s">
        <v>133</v>
      </c>
      <c r="B74">
        <f>+CAPPOUCLA!C82</f>
        <v>5249259</v>
      </c>
      <c r="C74" t="str">
        <f>+CAPPOUCLA!B82</f>
        <v>VILLANUEVA RAFAEL</v>
      </c>
      <c r="D74">
        <f>+CAPPOUCLA!H82</f>
        <v>270.01</v>
      </c>
      <c r="E74">
        <f>+CAPPOUCLA!J82</f>
        <v>13.500500000000001</v>
      </c>
      <c r="F74">
        <f>+CAPPOUCLA!L82</f>
        <v>256.5095</v>
      </c>
    </row>
    <row r="75" spans="1:6" x14ac:dyDescent="0.25">
      <c r="A75" t="s">
        <v>133</v>
      </c>
      <c r="B75">
        <f>+CAPPOUCLA!C83</f>
        <v>12249178</v>
      </c>
      <c r="C75" t="str">
        <f>+CAPPOUCLA!B83</f>
        <v>VIRGUEZ DARWIN</v>
      </c>
      <c r="D75">
        <f>+CAPPOUCLA!H83</f>
        <v>344.46</v>
      </c>
      <c r="E75">
        <f>+CAPPOUCLA!J83</f>
        <v>17.222999999999999</v>
      </c>
      <c r="F75">
        <f>+CAPPOUCLA!L83</f>
        <v>327.23699999999997</v>
      </c>
    </row>
    <row r="76" spans="1:6" x14ac:dyDescent="0.25">
      <c r="A76" t="s">
        <v>133</v>
      </c>
      <c r="B76">
        <f>+CAPPOUCLA!C84</f>
        <v>15668151</v>
      </c>
      <c r="C76" t="str">
        <f>+CAPPOUCLA!B84</f>
        <v>VIRGUEZ U PAUCIDES A</v>
      </c>
      <c r="D76">
        <f>+CAPPOUCLA!H84</f>
        <v>586.4</v>
      </c>
      <c r="E76">
        <f>+CAPPOUCLA!J84</f>
        <v>29.32</v>
      </c>
      <c r="F76">
        <f>+CAPPOUCLA!L84</f>
        <v>557.07999999999993</v>
      </c>
    </row>
    <row r="77" spans="1:6" x14ac:dyDescent="0.25">
      <c r="A77" t="s">
        <v>133</v>
      </c>
      <c r="B77">
        <f>+CAPPOUCLA!C85</f>
        <v>7449457</v>
      </c>
      <c r="C77" t="str">
        <f>+CAPPOUCLA!B85</f>
        <v>VISCAYA PEDRO</v>
      </c>
      <c r="D77">
        <f>+CAPPOUCLA!H85</f>
        <v>119.84</v>
      </c>
      <c r="E77">
        <f>+CAPPOUCLA!J85</f>
        <v>5.9920000000000009</v>
      </c>
      <c r="F77">
        <f>+CAPPOUCLA!L85</f>
        <v>113.848</v>
      </c>
    </row>
    <row r="78" spans="1:6" x14ac:dyDescent="0.25">
      <c r="A78" t="s">
        <v>133</v>
      </c>
      <c r="B78">
        <f>+CAPPOUCLA!C86</f>
        <v>7449457</v>
      </c>
      <c r="C78" t="str">
        <f>+CAPPOUCLA!B86</f>
        <v>VISCAYA PEDRO</v>
      </c>
      <c r="D78">
        <f>+CAPPOUCLA!H86</f>
        <v>100</v>
      </c>
      <c r="E78">
        <f>+CAPPOUCLA!J86</f>
        <v>5</v>
      </c>
      <c r="F78">
        <f>+CAPPOUCLA!L86</f>
        <v>95</v>
      </c>
    </row>
    <row r="79" spans="1:6" x14ac:dyDescent="0.25">
      <c r="A79" t="s">
        <v>133</v>
      </c>
      <c r="B79">
        <f>+CAPPOUCLA!C87</f>
        <v>9613403</v>
      </c>
      <c r="C79" t="str">
        <f>+CAPPOUCLA!B87</f>
        <v>RODRIGUEZ AIDA</v>
      </c>
      <c r="D79">
        <f>+CAPPOUCLA!H87</f>
        <v>388.06</v>
      </c>
      <c r="E79">
        <f>+CAPPOUCLA!J87</f>
        <v>19.403000000000002</v>
      </c>
      <c r="F79">
        <f>+CAPPOUCLA!L87</f>
        <v>368.65699999999998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tabSelected="1" workbookViewId="0"/>
  </sheetViews>
  <sheetFormatPr baseColWidth="10" defaultRowHeight="15" x14ac:dyDescent="0.25"/>
  <cols>
    <col min="2" max="2" width="24.140625" bestFit="1" customWidth="1"/>
  </cols>
  <sheetData>
    <row r="1" spans="1:5" x14ac:dyDescent="0.25">
      <c r="A1" t="str">
        <f>CONCATENATE(Hoja3!A1,Hoja3!B1)</f>
        <v>V2186056</v>
      </c>
      <c r="B1" t="str">
        <f>+Hoja3!C1</f>
        <v>ALVARADO  PEDRO</v>
      </c>
      <c r="C1">
        <f>+Hoja3!D1</f>
        <v>56</v>
      </c>
      <c r="D1">
        <f>+Hoja3!E1</f>
        <v>2.8000000000000003</v>
      </c>
      <c r="E1">
        <f>+Hoja3!F1</f>
        <v>53.2</v>
      </c>
    </row>
    <row r="2" spans="1:5" x14ac:dyDescent="0.25">
      <c r="A2" t="str">
        <f>CONCATENATE(Hoja3!A2,Hoja3!B2)</f>
        <v>V7419740</v>
      </c>
      <c r="B2" t="str">
        <f>+Hoja3!C2</f>
        <v>ALVARADO YULITH</v>
      </c>
      <c r="C2">
        <f>+Hoja3!D2</f>
        <v>324.89999999999998</v>
      </c>
      <c r="D2">
        <f>+Hoja3!E2</f>
        <v>16.245000000000001</v>
      </c>
      <c r="E2">
        <f>+Hoja3!F2</f>
        <v>308.65499999999997</v>
      </c>
    </row>
    <row r="3" spans="1:5" x14ac:dyDescent="0.25">
      <c r="A3" t="str">
        <f>CONCATENATE(Hoja3!A3,Hoja3!B3)</f>
        <v>V7419740</v>
      </c>
      <c r="B3" t="str">
        <f>+Hoja3!C3</f>
        <v>ALVARADO YULITH</v>
      </c>
      <c r="C3">
        <f>+Hoja3!D3</f>
        <v>934.48</v>
      </c>
      <c r="D3">
        <f>+Hoja3!E3</f>
        <v>46.724000000000004</v>
      </c>
      <c r="E3">
        <f>+Hoja3!F3</f>
        <v>887.75599999999997</v>
      </c>
    </row>
    <row r="4" spans="1:5" x14ac:dyDescent="0.25">
      <c r="A4" t="str">
        <f>CONCATENATE(Hoja3!A4,Hoja3!B4)</f>
        <v>V7419740</v>
      </c>
      <c r="B4" t="str">
        <f>+Hoja3!C4</f>
        <v>ALVARADO YULITH</v>
      </c>
      <c r="C4">
        <f>+Hoja3!D4</f>
        <v>985.38</v>
      </c>
      <c r="D4">
        <f>+Hoja3!E4</f>
        <v>49.269000000000005</v>
      </c>
      <c r="E4">
        <f>+Hoja3!F4</f>
        <v>936.11099999999999</v>
      </c>
    </row>
    <row r="5" spans="1:5" x14ac:dyDescent="0.25">
      <c r="A5" t="str">
        <f>CONCATENATE(Hoja3!A5,Hoja3!B5)</f>
        <v>V7419740</v>
      </c>
      <c r="B5" t="str">
        <f>+Hoja3!C5</f>
        <v>ALVARADO YULITH</v>
      </c>
      <c r="C5">
        <f>+Hoja3!D5</f>
        <v>151.80000000000001</v>
      </c>
      <c r="D5">
        <f>+Hoja3!E5</f>
        <v>7.5900000000000007</v>
      </c>
      <c r="E5">
        <f>+Hoja3!F5</f>
        <v>151.80000000000001</v>
      </c>
    </row>
    <row r="6" spans="1:5" x14ac:dyDescent="0.25">
      <c r="A6" t="str">
        <f>CONCATENATE(Hoja3!A6,Hoja3!B6)</f>
        <v>V12020535</v>
      </c>
      <c r="B6" t="str">
        <f>+Hoja3!C6</f>
        <v>ALVAREZ JOSE</v>
      </c>
      <c r="C6">
        <f>+Hoja3!D6</f>
        <v>309.5</v>
      </c>
      <c r="D6">
        <f>+Hoja3!E6</f>
        <v>15.475000000000001</v>
      </c>
      <c r="E6">
        <f>+Hoja3!F6</f>
        <v>294.02499999999998</v>
      </c>
    </row>
    <row r="7" spans="1:5" x14ac:dyDescent="0.25">
      <c r="A7" t="str">
        <f>CONCATENATE(Hoja3!A7,Hoja3!B7)</f>
        <v>V12020535</v>
      </c>
      <c r="B7" t="str">
        <f>+Hoja3!C7</f>
        <v>ALVAREZ JOSE</v>
      </c>
      <c r="C7">
        <f>+Hoja3!D7</f>
        <v>152.19999999999999</v>
      </c>
      <c r="D7">
        <f>+Hoja3!E7</f>
        <v>7.6099999999999994</v>
      </c>
      <c r="E7">
        <f>+Hoja3!F7</f>
        <v>144.58999999999997</v>
      </c>
    </row>
    <row r="8" spans="1:5" x14ac:dyDescent="0.25">
      <c r="A8" t="str">
        <f>CONCATENATE(Hoja3!A8,Hoja3!B8)</f>
        <v>V12701301</v>
      </c>
      <c r="B8" t="str">
        <f>+Hoja3!C8</f>
        <v>AMARO PABLO</v>
      </c>
      <c r="C8">
        <f>+Hoja3!D8</f>
        <v>301.91000000000003</v>
      </c>
      <c r="D8">
        <f>+Hoja3!E8</f>
        <v>15.095500000000001</v>
      </c>
      <c r="E8">
        <f>+Hoja3!F8</f>
        <v>286.81450000000001</v>
      </c>
    </row>
    <row r="9" spans="1:5" x14ac:dyDescent="0.25">
      <c r="A9" t="str">
        <f>CONCATENATE(Hoja3!A9,Hoja3!B9)</f>
        <v>V7442445</v>
      </c>
      <c r="B9" t="str">
        <f>+Hoja3!C9</f>
        <v>CASTAÑEDA FRANCISCO</v>
      </c>
      <c r="C9">
        <f>+Hoja3!D9</f>
        <v>173.89</v>
      </c>
      <c r="D9">
        <f>+Hoja3!E9</f>
        <v>8.6944999999999997</v>
      </c>
      <c r="E9">
        <f>+Hoja3!F9</f>
        <v>165.19549999999998</v>
      </c>
    </row>
    <row r="10" spans="1:5" x14ac:dyDescent="0.25">
      <c r="A10" t="str">
        <f>CONCATENATE(Hoja3!A10,Hoja3!B10)</f>
        <v>V7442445</v>
      </c>
      <c r="B10" t="str">
        <f>+Hoja3!C10</f>
        <v>CASTAÑEDA FRANCISCO</v>
      </c>
      <c r="C10">
        <f>+Hoja3!D10</f>
        <v>220.01</v>
      </c>
      <c r="D10">
        <f>+Hoja3!E10</f>
        <v>11.000500000000001</v>
      </c>
      <c r="E10">
        <f>+Hoja3!F10</f>
        <v>209.0095</v>
      </c>
    </row>
    <row r="11" spans="1:5" x14ac:dyDescent="0.25">
      <c r="A11" t="str">
        <f>CONCATENATE(Hoja3!A11,Hoja3!B11)</f>
        <v>V7442445</v>
      </c>
      <c r="B11" t="str">
        <f>+Hoja3!C11</f>
        <v>CASTAÑEDA FRANCISCO</v>
      </c>
      <c r="C11">
        <f>+Hoja3!D11</f>
        <v>30.32</v>
      </c>
      <c r="D11">
        <f>+Hoja3!E11</f>
        <v>1.516</v>
      </c>
      <c r="E11">
        <f>+Hoja3!F11</f>
        <v>30.32</v>
      </c>
    </row>
    <row r="12" spans="1:5" x14ac:dyDescent="0.25">
      <c r="A12" t="str">
        <f>CONCATENATE(Hoja3!A12,Hoja3!B12)</f>
        <v>V12314254</v>
      </c>
      <c r="B12" t="str">
        <f>+Hoja3!C12</f>
        <v>CASTELLANOS VICENTE</v>
      </c>
      <c r="C12">
        <f>+Hoja3!D12</f>
        <v>303.2</v>
      </c>
      <c r="D12">
        <f>+Hoja3!E12</f>
        <v>15.16</v>
      </c>
      <c r="E12">
        <f>+Hoja3!F12</f>
        <v>288.03999999999996</v>
      </c>
    </row>
    <row r="13" spans="1:5" x14ac:dyDescent="0.25">
      <c r="A13" t="str">
        <f>CONCATENATE(Hoja3!A13,Hoja3!B13)</f>
        <v>V10846532</v>
      </c>
      <c r="B13" t="str">
        <f>+Hoja3!C13</f>
        <v>CASTILLO JOSE</v>
      </c>
      <c r="C13">
        <f>+Hoja3!D13</f>
        <v>592</v>
      </c>
      <c r="D13">
        <f>+Hoja3!E13</f>
        <v>29.6</v>
      </c>
      <c r="E13">
        <f>+Hoja3!F13</f>
        <v>562.4</v>
      </c>
    </row>
    <row r="14" spans="1:5" x14ac:dyDescent="0.25">
      <c r="A14" t="str">
        <f>CONCATENATE(Hoja3!A14,Hoja3!B14)</f>
        <v>V7446644</v>
      </c>
      <c r="B14" t="str">
        <f>+Hoja3!C14</f>
        <v>CHIRINOS GREGORIO</v>
      </c>
      <c r="C14">
        <f>+Hoja3!D14</f>
        <v>471.25</v>
      </c>
      <c r="D14">
        <f>+Hoja3!E14</f>
        <v>23.5625</v>
      </c>
      <c r="E14">
        <f>+Hoja3!F14</f>
        <v>447.6875</v>
      </c>
    </row>
    <row r="15" spans="1:5" x14ac:dyDescent="0.25">
      <c r="A15" t="str">
        <f>CONCATENATE(Hoja3!A15,Hoja3!B15)</f>
        <v>V7446644</v>
      </c>
      <c r="B15" t="str">
        <f>+Hoja3!C15</f>
        <v>CHIRINOS GREGORIO</v>
      </c>
      <c r="C15">
        <f>+Hoja3!D15</f>
        <v>258.60000000000002</v>
      </c>
      <c r="D15">
        <f>+Hoja3!E15</f>
        <v>12.930000000000001</v>
      </c>
      <c r="E15">
        <f>+Hoja3!F15</f>
        <v>245.67000000000002</v>
      </c>
    </row>
    <row r="16" spans="1:5" x14ac:dyDescent="0.25">
      <c r="A16" t="str">
        <f>CONCATENATE(Hoja3!A16,Hoja3!B16)</f>
        <v>V9609337</v>
      </c>
      <c r="B16" t="str">
        <f>+Hoja3!C16</f>
        <v>CORRALES CLARISA</v>
      </c>
      <c r="C16">
        <f>+Hoja3!D16</f>
        <v>120.44</v>
      </c>
      <c r="D16">
        <f>+Hoja3!E16</f>
        <v>6.0220000000000002</v>
      </c>
      <c r="E16">
        <f>+Hoja3!F16</f>
        <v>114.41799999999999</v>
      </c>
    </row>
    <row r="17" spans="1:5" x14ac:dyDescent="0.25">
      <c r="A17" t="str">
        <f>CONCATENATE(Hoja3!A17,Hoja3!B17)</f>
        <v>V9609337</v>
      </c>
      <c r="B17" t="str">
        <f>+Hoja3!C17</f>
        <v>CORRALES CLARISA</v>
      </c>
      <c r="C17">
        <f>+Hoja3!D17</f>
        <v>596.94000000000005</v>
      </c>
      <c r="D17">
        <f>+Hoja3!E17</f>
        <v>29.847000000000005</v>
      </c>
      <c r="E17">
        <f>+Hoja3!F17</f>
        <v>567.09300000000007</v>
      </c>
    </row>
    <row r="18" spans="1:5" x14ac:dyDescent="0.25">
      <c r="A18" t="str">
        <f>CONCATENATE(Hoja3!A18,Hoja3!B18)</f>
        <v>V9544345</v>
      </c>
      <c r="B18" t="str">
        <f>+Hoja3!C18</f>
        <v>DUNO RIVERO EDGAR</v>
      </c>
      <c r="C18">
        <f>+Hoja3!D18</f>
        <v>101.58</v>
      </c>
      <c r="D18">
        <f>+Hoja3!E18</f>
        <v>5.0790000000000006</v>
      </c>
      <c r="E18">
        <f>+Hoja3!F18</f>
        <v>101.58</v>
      </c>
    </row>
    <row r="19" spans="1:5" x14ac:dyDescent="0.25">
      <c r="A19" t="str">
        <f>CONCATENATE(Hoja3!A19,Hoja3!B19)</f>
        <v>V4727740</v>
      </c>
      <c r="B19" t="str">
        <f>+Hoja3!C19</f>
        <v>DURAN  ADRIAN</v>
      </c>
      <c r="C19">
        <f>+Hoja3!D19</f>
        <v>194.99</v>
      </c>
      <c r="D19">
        <f>+Hoja3!E19</f>
        <v>9.7495000000000012</v>
      </c>
      <c r="E19">
        <f>+Hoja3!F19</f>
        <v>194.99</v>
      </c>
    </row>
    <row r="20" spans="1:5" x14ac:dyDescent="0.25">
      <c r="A20" t="str">
        <f>CONCATENATE(Hoja3!A20,Hoja3!B20)</f>
        <v>V11594236</v>
      </c>
      <c r="B20" t="str">
        <f>+Hoja3!C20</f>
        <v>DURAN JESUS</v>
      </c>
      <c r="C20">
        <f>+Hoja3!D20</f>
        <v>506.4</v>
      </c>
      <c r="D20">
        <f>+Hoja3!E20</f>
        <v>25.32</v>
      </c>
      <c r="E20">
        <f>+Hoja3!F20</f>
        <v>481.08</v>
      </c>
    </row>
    <row r="21" spans="1:5" x14ac:dyDescent="0.25">
      <c r="A21" t="str">
        <f>CONCATENATE(Hoja3!A21,Hoja3!B21)</f>
        <v>V12023306</v>
      </c>
      <c r="B21" t="str">
        <f>+Hoja3!C21</f>
        <v>FRANCO  ALIBERT</v>
      </c>
      <c r="C21">
        <f>+Hoja3!D21</f>
        <v>728</v>
      </c>
      <c r="D21">
        <f>+Hoja3!E21</f>
        <v>36.4</v>
      </c>
      <c r="E21">
        <f>+Hoja3!F21</f>
        <v>691.6</v>
      </c>
    </row>
    <row r="22" spans="1:5" x14ac:dyDescent="0.25">
      <c r="A22" t="str">
        <f>CONCATENATE(Hoja3!A22,Hoja3!B22)</f>
        <v>V3963688</v>
      </c>
      <c r="B22" t="str">
        <f>+Hoja3!C22</f>
        <v>GALLARDO  SILVERIO</v>
      </c>
      <c r="C22">
        <f>+Hoja3!D22</f>
        <v>104.8</v>
      </c>
      <c r="D22">
        <f>+Hoja3!E22</f>
        <v>5.24</v>
      </c>
      <c r="E22">
        <f>+Hoja3!F22</f>
        <v>99.56</v>
      </c>
    </row>
    <row r="23" spans="1:5" x14ac:dyDescent="0.25">
      <c r="A23" t="str">
        <f>CONCATENATE(Hoja3!A23,Hoja3!B23)</f>
        <v>V3963688</v>
      </c>
      <c r="B23" t="str">
        <f>+Hoja3!C23</f>
        <v>GALLARDO  SILVERIO</v>
      </c>
      <c r="C23">
        <f>+Hoja3!D23</f>
        <v>438.73</v>
      </c>
      <c r="D23">
        <f>+Hoja3!E23</f>
        <v>21.936500000000002</v>
      </c>
      <c r="E23">
        <f>+Hoja3!F23</f>
        <v>416.79349999999999</v>
      </c>
    </row>
    <row r="24" spans="1:5" x14ac:dyDescent="0.25">
      <c r="A24" t="str">
        <f>CONCATENATE(Hoja3!A24,Hoja3!B24)</f>
        <v>V3857667</v>
      </c>
      <c r="B24" t="str">
        <f>+Hoja3!C24</f>
        <v>GIL  PABLO</v>
      </c>
      <c r="C24">
        <f>+Hoja3!D24</f>
        <v>134.4</v>
      </c>
      <c r="D24">
        <f>+Hoja3!E24</f>
        <v>6.7200000000000006</v>
      </c>
      <c r="E24">
        <f>+Hoja3!F24</f>
        <v>127.68</v>
      </c>
    </row>
    <row r="25" spans="1:5" x14ac:dyDescent="0.25">
      <c r="A25" t="str">
        <f>CONCATENATE(Hoja3!A25,Hoja3!B25)</f>
        <v>V12704927</v>
      </c>
      <c r="B25" t="str">
        <f>+Hoja3!C25</f>
        <v>GOMEZ MEDINA JUAN</v>
      </c>
      <c r="C25">
        <f>+Hoja3!D25</f>
        <v>249.24</v>
      </c>
      <c r="D25">
        <f>+Hoja3!E25</f>
        <v>12.462000000000002</v>
      </c>
      <c r="E25">
        <f>+Hoja3!F25</f>
        <v>236.77800000000002</v>
      </c>
    </row>
    <row r="26" spans="1:5" x14ac:dyDescent="0.25">
      <c r="A26" t="str">
        <f>CONCATENATE(Hoja3!A26,Hoja3!B26)</f>
        <v>V10849907</v>
      </c>
      <c r="B26" t="str">
        <f>+Hoja3!C26</f>
        <v>GRATEROL JHONNY</v>
      </c>
      <c r="C26">
        <f>+Hoja3!D26</f>
        <v>410.12</v>
      </c>
      <c r="D26">
        <f>+Hoja3!E26</f>
        <v>20.506</v>
      </c>
      <c r="E26">
        <f>+Hoja3!F26</f>
        <v>389.61400000000003</v>
      </c>
    </row>
    <row r="27" spans="1:5" x14ac:dyDescent="0.25">
      <c r="A27" t="str">
        <f>CONCATENATE(Hoja3!A27,Hoja3!B27)</f>
        <v>V9615964</v>
      </c>
      <c r="B27" t="str">
        <f>+Hoja3!C27</f>
        <v>GRATEROL YAILILI</v>
      </c>
      <c r="C27">
        <f>+Hoja3!D27</f>
        <v>882.78</v>
      </c>
      <c r="D27">
        <f>+Hoja3!E27</f>
        <v>44.139000000000003</v>
      </c>
      <c r="E27">
        <f>+Hoja3!F27</f>
        <v>838.64099999999996</v>
      </c>
    </row>
    <row r="28" spans="1:5" x14ac:dyDescent="0.25">
      <c r="A28" t="str">
        <f>CONCATENATE(Hoja3!A28,Hoja3!B28)</f>
        <v>V9615964</v>
      </c>
      <c r="B28" t="str">
        <f>+Hoja3!C28</f>
        <v>GRATEROL YAILILI</v>
      </c>
      <c r="C28">
        <f>+Hoja3!D28</f>
        <v>337.75</v>
      </c>
      <c r="D28">
        <f>+Hoja3!E28</f>
        <v>16.887499999999999</v>
      </c>
      <c r="E28">
        <f>+Hoja3!F28</f>
        <v>320.86250000000001</v>
      </c>
    </row>
    <row r="29" spans="1:5" x14ac:dyDescent="0.25">
      <c r="A29" t="str">
        <f>CONCATENATE(Hoja3!A29,Hoja3!B29)</f>
        <v>V9615964</v>
      </c>
      <c r="B29" t="str">
        <f>+Hoja3!C29</f>
        <v>GRATEROL YAILILI</v>
      </c>
      <c r="C29">
        <f>+Hoja3!D29</f>
        <v>274.89</v>
      </c>
      <c r="D29">
        <f>+Hoja3!E29</f>
        <v>13.7445</v>
      </c>
      <c r="E29">
        <f>+Hoja3!F29</f>
        <v>261.14549999999997</v>
      </c>
    </row>
    <row r="30" spans="1:5" x14ac:dyDescent="0.25">
      <c r="A30" t="str">
        <f>CONCATENATE(Hoja3!A30,Hoja3!B30)</f>
        <v>V9615964</v>
      </c>
      <c r="B30" t="str">
        <f>+Hoja3!C30</f>
        <v>GRATEROL YAILILI</v>
      </c>
      <c r="C30">
        <f>+Hoja3!D30</f>
        <v>49.09</v>
      </c>
      <c r="D30">
        <f>+Hoja3!E30</f>
        <v>2.4545000000000003</v>
      </c>
      <c r="E30">
        <f>+Hoja3!F30</f>
        <v>49.09</v>
      </c>
    </row>
    <row r="31" spans="1:5" x14ac:dyDescent="0.25">
      <c r="A31" t="str">
        <f>CONCATENATE(Hoja3!A31,Hoja3!B31)</f>
        <v>V7391472</v>
      </c>
      <c r="B31" t="str">
        <f>+Hoja3!C31</f>
        <v>GUANIPA  MIGUEL</v>
      </c>
      <c r="C31">
        <f>+Hoja3!D31</f>
        <v>189.11</v>
      </c>
      <c r="D31">
        <f>+Hoja3!E31</f>
        <v>9.4555000000000007</v>
      </c>
      <c r="E31">
        <f>+Hoja3!F31</f>
        <v>179.65450000000001</v>
      </c>
    </row>
    <row r="32" spans="1:5" x14ac:dyDescent="0.25">
      <c r="A32" t="str">
        <f>CONCATENATE(Hoja3!A32,Hoja3!B32)</f>
        <v>V7426046</v>
      </c>
      <c r="B32" t="str">
        <f>+Hoja3!C32</f>
        <v>GUASIMUCARO HENRY</v>
      </c>
      <c r="C32">
        <f>+Hoja3!D32</f>
        <v>216</v>
      </c>
      <c r="D32">
        <f>+Hoja3!E32</f>
        <v>10.8</v>
      </c>
      <c r="E32">
        <f>+Hoja3!F32</f>
        <v>205.2</v>
      </c>
    </row>
    <row r="33" spans="1:5" x14ac:dyDescent="0.25">
      <c r="A33" t="str">
        <f>CONCATENATE(Hoja3!A33,Hoja3!B33)</f>
        <v>V7309375</v>
      </c>
      <c r="B33" t="str">
        <f>+Hoja3!C33</f>
        <v>GUERRA  JOSE</v>
      </c>
      <c r="C33">
        <f>+Hoja3!D33</f>
        <v>160</v>
      </c>
      <c r="D33">
        <f>+Hoja3!E33</f>
        <v>8</v>
      </c>
      <c r="E33">
        <f>+Hoja3!F33</f>
        <v>152</v>
      </c>
    </row>
    <row r="34" spans="1:5" x14ac:dyDescent="0.25">
      <c r="A34" t="str">
        <f>CONCATENATE(Hoja3!A34,Hoja3!B34)</f>
        <v>V7309375</v>
      </c>
      <c r="B34" t="str">
        <f>+Hoja3!C34</f>
        <v>GUERRA  JOSE</v>
      </c>
      <c r="C34">
        <f>+Hoja3!D34</f>
        <v>80.11</v>
      </c>
      <c r="D34">
        <f>+Hoja3!E34</f>
        <v>4.0055000000000005</v>
      </c>
      <c r="E34">
        <f>+Hoja3!F34</f>
        <v>76.104500000000002</v>
      </c>
    </row>
    <row r="35" spans="1:5" x14ac:dyDescent="0.25">
      <c r="A35" t="str">
        <f>CONCATENATE(Hoja3!A35,Hoja3!B35)</f>
        <v>V1239070</v>
      </c>
      <c r="B35" t="str">
        <f>+Hoja3!C35</f>
        <v>GUEVARA  JOSE</v>
      </c>
      <c r="C35">
        <f>+Hoja3!D35</f>
        <v>172.69</v>
      </c>
      <c r="D35">
        <f>+Hoja3!E35</f>
        <v>8.634500000000001</v>
      </c>
      <c r="E35">
        <f>+Hoja3!F35</f>
        <v>164.05549999999999</v>
      </c>
    </row>
    <row r="36" spans="1:5" x14ac:dyDescent="0.25">
      <c r="A36" t="str">
        <f>CONCATENATE(Hoja3!A36,Hoja3!B36)</f>
        <v>V7415285</v>
      </c>
      <c r="B36" t="str">
        <f>+Hoja3!C36</f>
        <v>HERNANDEZ  CARLOS</v>
      </c>
      <c r="C36">
        <f>+Hoja3!D36</f>
        <v>836.58</v>
      </c>
      <c r="D36">
        <f>+Hoja3!E36</f>
        <v>41.829000000000008</v>
      </c>
      <c r="E36">
        <f>+Hoja3!F36</f>
        <v>794.75099999999998</v>
      </c>
    </row>
    <row r="37" spans="1:5" x14ac:dyDescent="0.25">
      <c r="A37" t="str">
        <f>CONCATENATE(Hoja3!A37,Hoja3!B37)</f>
        <v>V13188137</v>
      </c>
      <c r="B37" t="str">
        <f>+Hoja3!C37</f>
        <v>HERNANDEZ HECTOR</v>
      </c>
      <c r="C37">
        <f>+Hoja3!D37</f>
        <v>444.09</v>
      </c>
      <c r="D37">
        <f>+Hoja3!E37</f>
        <v>22.204499999999999</v>
      </c>
      <c r="E37">
        <f>+Hoja3!F37</f>
        <v>421.88549999999998</v>
      </c>
    </row>
    <row r="38" spans="1:5" x14ac:dyDescent="0.25">
      <c r="A38" t="str">
        <f>CONCATENATE(Hoja3!A38,Hoja3!B38)</f>
        <v>V9614364</v>
      </c>
      <c r="B38" t="str">
        <f>+Hoja3!C38</f>
        <v>HERNANDEZ JORGE</v>
      </c>
      <c r="C38">
        <f>+Hoja3!D38</f>
        <v>136</v>
      </c>
      <c r="D38">
        <f>+Hoja3!E38</f>
        <v>6.8000000000000007</v>
      </c>
      <c r="E38">
        <f>+Hoja3!F38</f>
        <v>129.19999999999999</v>
      </c>
    </row>
    <row r="39" spans="1:5" x14ac:dyDescent="0.25">
      <c r="A39" t="str">
        <f>CONCATENATE(Hoja3!A39,Hoja3!B39)</f>
        <v>V4731494</v>
      </c>
      <c r="B39" t="str">
        <f>+Hoja3!C39</f>
        <v>JIMENEZ EDGAR SOLANO</v>
      </c>
      <c r="C39">
        <f>+Hoja3!D39</f>
        <v>134.4</v>
      </c>
      <c r="D39">
        <f>+Hoja3!E39</f>
        <v>6.7200000000000006</v>
      </c>
      <c r="E39">
        <f>+Hoja3!F39</f>
        <v>127.68</v>
      </c>
    </row>
    <row r="40" spans="1:5" x14ac:dyDescent="0.25">
      <c r="A40" t="str">
        <f>CONCATENATE(Hoja3!A40,Hoja3!B40)</f>
        <v>V4731494</v>
      </c>
      <c r="B40" t="str">
        <f>+Hoja3!C40</f>
        <v>JIMENEZ EDGAR SOLANO</v>
      </c>
      <c r="C40">
        <f>+Hoja3!D40</f>
        <v>36.409999999999997</v>
      </c>
      <c r="D40">
        <f>+Hoja3!E40</f>
        <v>1.8205</v>
      </c>
      <c r="E40">
        <f>+Hoja3!F40</f>
        <v>34.589499999999994</v>
      </c>
    </row>
    <row r="41" spans="1:5" x14ac:dyDescent="0.25">
      <c r="A41" t="str">
        <f>CONCATENATE(Hoja3!A41,Hoja3!B41)</f>
        <v>V13843775</v>
      </c>
      <c r="B41" t="str">
        <f>+Hoja3!C41</f>
        <v>JUAREZ NESTOR</v>
      </c>
      <c r="C41">
        <f>+Hoja3!D41</f>
        <v>1133.79</v>
      </c>
      <c r="D41">
        <f>+Hoja3!E41</f>
        <v>56.689500000000002</v>
      </c>
      <c r="E41">
        <f>+Hoja3!F41</f>
        <v>1077.1005</v>
      </c>
    </row>
    <row r="42" spans="1:5" x14ac:dyDescent="0.25">
      <c r="A42" t="str">
        <f>CONCATENATE(Hoja3!A42,Hoja3!B42)</f>
        <v>V13843775</v>
      </c>
      <c r="B42" t="str">
        <f>+Hoja3!C42</f>
        <v>JUAREZ NESTOR</v>
      </c>
      <c r="C42">
        <f>+Hoja3!D42</f>
        <v>427.2</v>
      </c>
      <c r="D42">
        <f>+Hoja3!E42</f>
        <v>21.36</v>
      </c>
      <c r="E42">
        <f>+Hoja3!F42</f>
        <v>405.84</v>
      </c>
    </row>
    <row r="43" spans="1:5" x14ac:dyDescent="0.25">
      <c r="A43" t="str">
        <f>CONCATENATE(Hoja3!A43,Hoja3!B43)</f>
        <v>V13868786</v>
      </c>
      <c r="B43" t="str">
        <f>+Hoja3!C43</f>
        <v>LARA PEREZ VIANNYS</v>
      </c>
      <c r="C43">
        <f>+Hoja3!D43</f>
        <v>361</v>
      </c>
      <c r="D43">
        <f>+Hoja3!E43</f>
        <v>18.05</v>
      </c>
      <c r="E43">
        <f>+Hoja3!F43</f>
        <v>342.95</v>
      </c>
    </row>
    <row r="44" spans="1:5" x14ac:dyDescent="0.25">
      <c r="A44" t="str">
        <f>CONCATENATE(Hoja3!A44,Hoja3!B44)</f>
        <v>V10772668</v>
      </c>
      <c r="B44" t="str">
        <f>+Hoja3!C44</f>
        <v>LINAREZ MARLON</v>
      </c>
      <c r="C44">
        <f>+Hoja3!D44</f>
        <v>327.38</v>
      </c>
      <c r="D44">
        <f>+Hoja3!E44</f>
        <v>16.369</v>
      </c>
      <c r="E44">
        <f>+Hoja3!F44</f>
        <v>311.01099999999997</v>
      </c>
    </row>
    <row r="45" spans="1:5" x14ac:dyDescent="0.25">
      <c r="A45" t="str">
        <f>CONCATENATE(Hoja3!A45,Hoja3!B45)</f>
        <v>V7401853</v>
      </c>
      <c r="B45" t="str">
        <f>+Hoja3!C45</f>
        <v>LOPEZ ANA</v>
      </c>
      <c r="C45">
        <f>+Hoja3!D45</f>
        <v>430.89</v>
      </c>
      <c r="D45">
        <f>+Hoja3!E45</f>
        <v>21.544499999999999</v>
      </c>
      <c r="E45">
        <f>+Hoja3!F45</f>
        <v>409.34550000000002</v>
      </c>
    </row>
    <row r="46" spans="1:5" x14ac:dyDescent="0.25">
      <c r="A46" t="str">
        <f>CONCATENATE(Hoja3!A46,Hoja3!B46)</f>
        <v>V7401853</v>
      </c>
      <c r="B46" t="str">
        <f>+Hoja3!C46</f>
        <v>LOPEZ ANA</v>
      </c>
      <c r="C46">
        <f>+Hoja3!D46</f>
        <v>529.55999999999995</v>
      </c>
      <c r="D46">
        <f>+Hoja3!E46</f>
        <v>26.477999999999998</v>
      </c>
      <c r="E46">
        <f>+Hoja3!F46</f>
        <v>503.08199999999994</v>
      </c>
    </row>
    <row r="47" spans="1:5" x14ac:dyDescent="0.25">
      <c r="A47" t="str">
        <f>CONCATENATE(Hoja3!A47,Hoja3!B47)</f>
        <v>V7401853</v>
      </c>
      <c r="B47" t="str">
        <f>+Hoja3!C47</f>
        <v>LOPEZ ANA</v>
      </c>
      <c r="C47">
        <f>+Hoja3!D47</f>
        <v>19.78</v>
      </c>
      <c r="D47">
        <f>+Hoja3!E47</f>
        <v>0.9890000000000001</v>
      </c>
      <c r="E47">
        <f>+Hoja3!F47</f>
        <v>19.78</v>
      </c>
    </row>
    <row r="48" spans="1:5" x14ac:dyDescent="0.25">
      <c r="A48" t="str">
        <f>CONCATENATE(Hoja3!A48,Hoja3!B48)</f>
        <v>V4238916</v>
      </c>
      <c r="B48" t="str">
        <f>+Hoja3!C48</f>
        <v>LUCENA CARMEN</v>
      </c>
      <c r="C48">
        <f>+Hoja3!D48</f>
        <v>183.01</v>
      </c>
      <c r="D48">
        <f>+Hoja3!E48</f>
        <v>9.1504999999999992</v>
      </c>
      <c r="E48">
        <f>+Hoja3!F48</f>
        <v>173.8595</v>
      </c>
    </row>
    <row r="49" spans="1:5" x14ac:dyDescent="0.25">
      <c r="A49" t="str">
        <f>CONCATENATE(Hoja3!A49,Hoja3!B49)</f>
        <v>V7406353</v>
      </c>
      <c r="B49" t="str">
        <f>+Hoja3!C49</f>
        <v>MARTINEZ  TIBERIO</v>
      </c>
      <c r="C49">
        <f>+Hoja3!D49</f>
        <v>569.6</v>
      </c>
      <c r="D49">
        <f>+Hoja3!E49</f>
        <v>28.480000000000004</v>
      </c>
      <c r="E49">
        <f>+Hoja3!F49</f>
        <v>541.12</v>
      </c>
    </row>
    <row r="50" spans="1:5" x14ac:dyDescent="0.25">
      <c r="A50" t="str">
        <f>CONCATENATE(Hoja3!A50,Hoja3!B50)</f>
        <v>V4378236</v>
      </c>
      <c r="B50" t="str">
        <f>+Hoja3!C50</f>
        <v>MENDOZA  RAFAEL</v>
      </c>
      <c r="C50">
        <f>+Hoja3!D50</f>
        <v>449.07</v>
      </c>
      <c r="D50">
        <f>+Hoja3!E50</f>
        <v>22.453500000000002</v>
      </c>
      <c r="E50">
        <f>+Hoja3!F50</f>
        <v>426.61649999999997</v>
      </c>
    </row>
    <row r="51" spans="1:5" x14ac:dyDescent="0.25">
      <c r="A51" t="str">
        <f>CONCATENATE(Hoja3!A51,Hoja3!B51)</f>
        <v>V4378236</v>
      </c>
      <c r="B51" t="str">
        <f>+Hoja3!C51</f>
        <v>MENDOZA  RAFAEL</v>
      </c>
      <c r="C51">
        <f>+Hoja3!D51</f>
        <v>259.39999999999998</v>
      </c>
      <c r="D51">
        <f>+Hoja3!E51</f>
        <v>12.969999999999999</v>
      </c>
      <c r="E51">
        <f>+Hoja3!F51</f>
        <v>246.42999999999998</v>
      </c>
    </row>
    <row r="52" spans="1:5" x14ac:dyDescent="0.25">
      <c r="A52" t="str">
        <f>CONCATENATE(Hoja3!A52,Hoja3!B52)</f>
        <v>V7388080</v>
      </c>
      <c r="B52" t="str">
        <f>+Hoja3!C52</f>
        <v>ORELLANA FREDDY</v>
      </c>
      <c r="C52">
        <f>+Hoja3!D52</f>
        <v>393.27</v>
      </c>
      <c r="D52">
        <f>+Hoja3!E52</f>
        <v>19.663499999999999</v>
      </c>
      <c r="E52">
        <f>+Hoja3!F52</f>
        <v>373.60649999999998</v>
      </c>
    </row>
    <row r="53" spans="1:5" x14ac:dyDescent="0.25">
      <c r="A53" t="str">
        <f>CONCATENATE(Hoja3!A53,Hoja3!B53)</f>
        <v>V13785661</v>
      </c>
      <c r="B53" t="str">
        <f>+Hoja3!C53</f>
        <v>ORTIZ JAIRO</v>
      </c>
      <c r="C53">
        <f>+Hoja3!D53</f>
        <v>234.91</v>
      </c>
      <c r="D53">
        <f>+Hoja3!E53</f>
        <v>11.7455</v>
      </c>
      <c r="E53">
        <f>+Hoja3!F53</f>
        <v>234.91</v>
      </c>
    </row>
    <row r="54" spans="1:5" x14ac:dyDescent="0.25">
      <c r="A54" t="str">
        <f>CONCATENATE(Hoja3!A54,Hoja3!B54)</f>
        <v>V13785661</v>
      </c>
      <c r="B54" t="str">
        <f>+Hoja3!C54</f>
        <v>ORTIZ JAIRO</v>
      </c>
      <c r="C54">
        <f>+Hoja3!D54</f>
        <v>125.6</v>
      </c>
      <c r="D54">
        <f>+Hoja3!E54</f>
        <v>6.28</v>
      </c>
      <c r="E54">
        <f>+Hoja3!F54</f>
        <v>119.32</v>
      </c>
    </row>
    <row r="55" spans="1:5" x14ac:dyDescent="0.25">
      <c r="A55" t="str">
        <f>CONCATENATE(Hoja3!A55,Hoja3!B55)</f>
        <v>V3877925</v>
      </c>
      <c r="B55" t="str">
        <f>+Hoja3!C55</f>
        <v>PACHECO  FELICIANO</v>
      </c>
      <c r="C55">
        <f>+Hoja3!D55</f>
        <v>528.63</v>
      </c>
      <c r="D55">
        <f>+Hoja3!E55</f>
        <v>26.4315</v>
      </c>
      <c r="E55">
        <f>+Hoja3!F55</f>
        <v>502.19849999999997</v>
      </c>
    </row>
    <row r="56" spans="1:5" x14ac:dyDescent="0.25">
      <c r="A56" t="str">
        <f>CONCATENATE(Hoja3!A56,Hoja3!B56)</f>
        <v>V7395742</v>
      </c>
      <c r="B56" t="str">
        <f>+Hoja3!C56</f>
        <v>PARRA GLADYS</v>
      </c>
      <c r="C56">
        <f>+Hoja3!D56</f>
        <v>344.47</v>
      </c>
      <c r="D56">
        <f>+Hoja3!E56</f>
        <v>17.223500000000001</v>
      </c>
      <c r="E56">
        <f>+Hoja3!F56</f>
        <v>327.24650000000003</v>
      </c>
    </row>
    <row r="57" spans="1:5" x14ac:dyDescent="0.25">
      <c r="A57" t="str">
        <f>CONCATENATE(Hoja3!A57,Hoja3!B57)</f>
        <v>V7395742</v>
      </c>
      <c r="B57" t="str">
        <f>+Hoja3!C57</f>
        <v>PARRA GLADYS</v>
      </c>
      <c r="C57">
        <f>+Hoja3!D57</f>
        <v>17.61</v>
      </c>
      <c r="D57">
        <f>+Hoja3!E57</f>
        <v>0.88050000000000006</v>
      </c>
      <c r="E57">
        <f>+Hoja3!F57</f>
        <v>17.61</v>
      </c>
    </row>
    <row r="58" spans="1:5" x14ac:dyDescent="0.25">
      <c r="A58" t="str">
        <f>CONCATENATE(Hoja3!A58,Hoja3!B58)</f>
        <v>V11783201</v>
      </c>
      <c r="B58" t="str">
        <f>+Hoja3!C58</f>
        <v>PEREZ ALEXANDER</v>
      </c>
      <c r="C58">
        <f>+Hoja3!D58</f>
        <v>243.78</v>
      </c>
      <c r="D58">
        <f>+Hoja3!E58</f>
        <v>12.189</v>
      </c>
      <c r="E58">
        <f>+Hoja3!F58</f>
        <v>231.59100000000001</v>
      </c>
    </row>
    <row r="59" spans="1:5" x14ac:dyDescent="0.25">
      <c r="A59" t="str">
        <f>CONCATENATE(Hoja3!A59,Hoja3!B59)</f>
        <v>V6573855</v>
      </c>
      <c r="B59" t="str">
        <f>+Hoja3!C59</f>
        <v>PEREZ AVILA LUIS</v>
      </c>
      <c r="C59">
        <f>+Hoja3!D59</f>
        <v>124.8</v>
      </c>
      <c r="D59">
        <f>+Hoja3!E59</f>
        <v>6.24</v>
      </c>
      <c r="E59">
        <f>+Hoja3!F59</f>
        <v>118.56</v>
      </c>
    </row>
    <row r="60" spans="1:5" x14ac:dyDescent="0.25">
      <c r="A60" t="str">
        <f>CONCATENATE(Hoja3!A60,Hoja3!B60)</f>
        <v>V12702273</v>
      </c>
      <c r="B60" t="str">
        <f>+Hoja3!C60</f>
        <v>PEROZO RAFAEL</v>
      </c>
      <c r="C60">
        <f>+Hoja3!D60</f>
        <v>302.31</v>
      </c>
      <c r="D60">
        <f>+Hoja3!E60</f>
        <v>15.115500000000001</v>
      </c>
      <c r="E60">
        <f>+Hoja3!F60</f>
        <v>287.19450000000001</v>
      </c>
    </row>
    <row r="61" spans="1:5" x14ac:dyDescent="0.25">
      <c r="A61" t="str">
        <f>CONCATENATE(Hoja3!A61,Hoja3!B61)</f>
        <v>V12702273</v>
      </c>
      <c r="B61" t="str">
        <f>+Hoja3!C61</f>
        <v>PEROZO RAFAEL</v>
      </c>
      <c r="C61">
        <f>+Hoja3!D61</f>
        <v>265.60000000000002</v>
      </c>
      <c r="D61">
        <f>+Hoja3!E61</f>
        <v>13.280000000000001</v>
      </c>
      <c r="E61">
        <f>+Hoja3!F61</f>
        <v>252.32000000000002</v>
      </c>
    </row>
    <row r="62" spans="1:5" x14ac:dyDescent="0.25">
      <c r="A62" t="str">
        <f>CONCATENATE(Hoja3!A62,Hoja3!B62)</f>
        <v>V12698965</v>
      </c>
      <c r="B62" t="str">
        <f>+Hoja3!C62</f>
        <v>PIÑA  DAISY</v>
      </c>
      <c r="C62">
        <f>+Hoja3!D62</f>
        <v>400.03</v>
      </c>
      <c r="D62">
        <f>+Hoja3!E62</f>
        <v>20.0015</v>
      </c>
      <c r="E62">
        <f>+Hoja3!F62</f>
        <v>380.02849999999995</v>
      </c>
    </row>
    <row r="63" spans="1:5" x14ac:dyDescent="0.25">
      <c r="A63" t="str">
        <f>CONCATENATE(Hoja3!A63,Hoja3!B63)</f>
        <v>V12698965</v>
      </c>
      <c r="B63" t="str">
        <f>+Hoja3!C63</f>
        <v>PIÑA  DAISY</v>
      </c>
      <c r="C63">
        <f>+Hoja3!D63</f>
        <v>102.84</v>
      </c>
      <c r="D63">
        <f>+Hoja3!E63</f>
        <v>5.1420000000000003</v>
      </c>
      <c r="E63">
        <f>+Hoja3!F63</f>
        <v>97.698000000000008</v>
      </c>
    </row>
    <row r="64" spans="1:5" x14ac:dyDescent="0.25">
      <c r="A64" t="str">
        <f>CONCATENATE(Hoja3!A64,Hoja3!B64)</f>
        <v>V1926999</v>
      </c>
      <c r="B64" t="str">
        <f>+Hoja3!C64</f>
        <v>RAMOS A. BRAULIO</v>
      </c>
      <c r="C64">
        <f>+Hoja3!D64</f>
        <v>224</v>
      </c>
      <c r="D64">
        <f>+Hoja3!E64</f>
        <v>11.200000000000001</v>
      </c>
      <c r="E64">
        <f>+Hoja3!F64</f>
        <v>212.8</v>
      </c>
    </row>
    <row r="65" spans="1:5" x14ac:dyDescent="0.25">
      <c r="A65" t="str">
        <f>CONCATENATE(Hoja3!A65,Hoja3!B65)</f>
        <v>V2741170</v>
      </c>
      <c r="B65" t="str">
        <f>+Hoja3!C65</f>
        <v>RODRIGUEZ  OSWALDO</v>
      </c>
      <c r="C65">
        <f>+Hoja3!D65</f>
        <v>1568.8</v>
      </c>
      <c r="D65">
        <f>+Hoja3!E65</f>
        <v>78.44</v>
      </c>
      <c r="E65">
        <f>+Hoja3!F65</f>
        <v>1490.36</v>
      </c>
    </row>
    <row r="66" spans="1:5" x14ac:dyDescent="0.25">
      <c r="A66" t="str">
        <f>CONCATENATE(Hoja3!A66,Hoja3!B66)</f>
        <v>V2741170</v>
      </c>
      <c r="B66" t="str">
        <f>+Hoja3!C66</f>
        <v>RODRIGUEZ  OSWALDO</v>
      </c>
      <c r="C66">
        <f>+Hoja3!D66</f>
        <v>95.84</v>
      </c>
      <c r="D66">
        <f>+Hoja3!E66</f>
        <v>4.7920000000000007</v>
      </c>
      <c r="E66">
        <f>+Hoja3!F66</f>
        <v>91.048000000000002</v>
      </c>
    </row>
    <row r="67" spans="1:5" x14ac:dyDescent="0.25">
      <c r="A67" t="str">
        <f>CONCATENATE(Hoja3!A67,Hoja3!B67)</f>
        <v>V7373089</v>
      </c>
      <c r="B67" t="str">
        <f>+Hoja3!C67</f>
        <v>SALAS FELIX</v>
      </c>
      <c r="C67">
        <f>+Hoja3!D67</f>
        <v>539.53</v>
      </c>
      <c r="D67">
        <f>+Hoja3!E67</f>
        <v>26.976500000000001</v>
      </c>
      <c r="E67">
        <f>+Hoja3!F67</f>
        <v>512.55349999999999</v>
      </c>
    </row>
    <row r="68" spans="1:5" x14ac:dyDescent="0.25">
      <c r="A68" t="str">
        <f>CONCATENATE(Hoja3!A68,Hoja3!B68)</f>
        <v>V14293690</v>
      </c>
      <c r="B68" t="str">
        <f>+Hoja3!C68</f>
        <v xml:space="preserve">SANCHEZ GLENDA </v>
      </c>
      <c r="C68">
        <f>+Hoja3!D68</f>
        <v>571.86</v>
      </c>
      <c r="D68">
        <f>+Hoja3!E68</f>
        <v>28.593000000000004</v>
      </c>
      <c r="E68">
        <f>+Hoja3!F68</f>
        <v>543.26700000000005</v>
      </c>
    </row>
    <row r="69" spans="1:5" x14ac:dyDescent="0.25">
      <c r="A69" t="str">
        <f>CONCATENATE(Hoja3!A69,Hoja3!B69)</f>
        <v>V11879419</v>
      </c>
      <c r="B69" t="str">
        <f>+Hoja3!C69</f>
        <v>SILVA GARCIA RAFAEL</v>
      </c>
      <c r="C69">
        <f>+Hoja3!D69</f>
        <v>900.65</v>
      </c>
      <c r="D69">
        <f>+Hoja3!E69</f>
        <v>45.032499999999999</v>
      </c>
      <c r="E69">
        <f>+Hoja3!F69</f>
        <v>855.61749999999995</v>
      </c>
    </row>
    <row r="70" spans="1:5" x14ac:dyDescent="0.25">
      <c r="A70" t="str">
        <f>CONCATENATE(Hoja3!A70,Hoja3!B70)</f>
        <v>V11879419</v>
      </c>
      <c r="B70" t="str">
        <f>+Hoja3!C70</f>
        <v>SILVA GARCIA RAFAEL</v>
      </c>
      <c r="C70">
        <f>+Hoja3!D70</f>
        <v>548.94000000000005</v>
      </c>
      <c r="D70">
        <f>+Hoja3!E70</f>
        <v>27.447000000000003</v>
      </c>
      <c r="E70">
        <f>+Hoja3!F70</f>
        <v>521.49300000000005</v>
      </c>
    </row>
    <row r="71" spans="1:5" x14ac:dyDescent="0.25">
      <c r="A71" t="str">
        <f>CONCATENATE(Hoja3!A71,Hoja3!B71)</f>
        <v>V7322780</v>
      </c>
      <c r="B71" t="str">
        <f>+Hoja3!C71</f>
        <v>SUAREZ  NAURO</v>
      </c>
      <c r="C71">
        <f>+Hoja3!D71</f>
        <v>88.8</v>
      </c>
      <c r="D71">
        <f>+Hoja3!E71</f>
        <v>4.4400000000000004</v>
      </c>
      <c r="E71">
        <f>+Hoja3!F71</f>
        <v>84.36</v>
      </c>
    </row>
    <row r="72" spans="1:5" x14ac:dyDescent="0.25">
      <c r="A72" t="str">
        <f>CONCATENATE(Hoja3!A72,Hoja3!B72)</f>
        <v>V15668851</v>
      </c>
      <c r="B72" t="str">
        <f>+Hoja3!C72</f>
        <v>URETA JORGE V.</v>
      </c>
      <c r="C72">
        <f>+Hoja3!D72</f>
        <v>59</v>
      </c>
      <c r="D72">
        <f>+Hoja3!E72</f>
        <v>2.95</v>
      </c>
      <c r="E72">
        <f>+Hoja3!F72</f>
        <v>56.05</v>
      </c>
    </row>
    <row r="73" spans="1:5" x14ac:dyDescent="0.25">
      <c r="A73" t="str">
        <f>CONCATENATE(Hoja3!A73,Hoja3!B73)</f>
        <v>V9066082</v>
      </c>
      <c r="B73" t="str">
        <f>+Hoja3!C73</f>
        <v>VALDERRAMA FRANCISCO</v>
      </c>
      <c r="C73">
        <f>+Hoja3!D73</f>
        <v>227.55</v>
      </c>
      <c r="D73">
        <f>+Hoja3!E73</f>
        <v>11.377500000000001</v>
      </c>
      <c r="E73">
        <f>+Hoja3!F73</f>
        <v>216.17250000000001</v>
      </c>
    </row>
    <row r="74" spans="1:5" x14ac:dyDescent="0.25">
      <c r="A74" t="str">
        <f>CONCATENATE(Hoja3!A74,Hoja3!B74)</f>
        <v>V5249259</v>
      </c>
      <c r="B74" t="str">
        <f>+Hoja3!C74</f>
        <v>VILLANUEVA RAFAEL</v>
      </c>
      <c r="C74">
        <f>+Hoja3!D74</f>
        <v>270.01</v>
      </c>
      <c r="D74">
        <f>+Hoja3!E74</f>
        <v>13.500500000000001</v>
      </c>
      <c r="E74">
        <f>+Hoja3!F74</f>
        <v>256.5095</v>
      </c>
    </row>
    <row r="75" spans="1:5" x14ac:dyDescent="0.25">
      <c r="A75" t="str">
        <f>CONCATENATE(Hoja3!A75,Hoja3!B75)</f>
        <v>V12249178</v>
      </c>
      <c r="B75" t="str">
        <f>+Hoja3!C75</f>
        <v>VIRGUEZ DARWIN</v>
      </c>
      <c r="C75">
        <f>+Hoja3!D75</f>
        <v>344.46</v>
      </c>
      <c r="D75">
        <f>+Hoja3!E75</f>
        <v>17.222999999999999</v>
      </c>
      <c r="E75">
        <f>+Hoja3!F75</f>
        <v>327.23699999999997</v>
      </c>
    </row>
    <row r="76" spans="1:5" x14ac:dyDescent="0.25">
      <c r="A76" t="str">
        <f>CONCATENATE(Hoja3!A76,Hoja3!B76)</f>
        <v>V15668151</v>
      </c>
      <c r="B76" t="str">
        <f>+Hoja3!C76</f>
        <v>VIRGUEZ U PAUCIDES A</v>
      </c>
      <c r="C76">
        <f>+Hoja3!D76</f>
        <v>586.4</v>
      </c>
      <c r="D76">
        <f>+Hoja3!E76</f>
        <v>29.32</v>
      </c>
      <c r="E76">
        <f>+Hoja3!F76</f>
        <v>557.07999999999993</v>
      </c>
    </row>
    <row r="77" spans="1:5" x14ac:dyDescent="0.25">
      <c r="A77" t="str">
        <f>CONCATENATE(Hoja3!A77,Hoja3!B77)</f>
        <v>V7449457</v>
      </c>
      <c r="B77" t="str">
        <f>+Hoja3!C77</f>
        <v>VISCAYA PEDRO</v>
      </c>
      <c r="C77">
        <f>+Hoja3!D77</f>
        <v>119.84</v>
      </c>
      <c r="D77">
        <f>+Hoja3!E77</f>
        <v>5.9920000000000009</v>
      </c>
      <c r="E77">
        <f>+Hoja3!F77</f>
        <v>113.848</v>
      </c>
    </row>
    <row r="78" spans="1:5" x14ac:dyDescent="0.25">
      <c r="A78" t="str">
        <f>CONCATENATE(Hoja3!A78,Hoja3!B78)</f>
        <v>V7449457</v>
      </c>
      <c r="B78" t="str">
        <f>+Hoja3!C78</f>
        <v>VISCAYA PEDRO</v>
      </c>
      <c r="C78">
        <f>+Hoja3!D78</f>
        <v>100</v>
      </c>
      <c r="D78">
        <f>+Hoja3!E78</f>
        <v>5</v>
      </c>
      <c r="E78">
        <f>+Hoja3!F78</f>
        <v>95</v>
      </c>
    </row>
    <row r="79" spans="1:5" x14ac:dyDescent="0.25">
      <c r="A79" t="str">
        <f>CONCATENATE(Hoja3!A79,Hoja3!B79)</f>
        <v>V9613403</v>
      </c>
      <c r="B79" t="str">
        <f>+Hoja3!C79</f>
        <v>RODRIGUEZ AIDA</v>
      </c>
      <c r="C79">
        <f>+Hoja3!D79</f>
        <v>388.06</v>
      </c>
      <c r="D79">
        <f>+Hoja3!E79</f>
        <v>19.403000000000002</v>
      </c>
      <c r="E79">
        <f>+Hoja3!F79</f>
        <v>368.65699999999998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CAPPOUCLA</vt:lpstr>
      <vt:lpstr>EMPLEADOS CAPPO</vt:lpstr>
      <vt:lpstr>Hoja3</vt:lpstr>
      <vt:lpstr>Hoja1</vt:lpstr>
    </vt:vector>
  </TitlesOfParts>
  <Company>farmacia universidad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farmacia universidad cappoucla</dc:creator>
  <cp:lastModifiedBy>desarrollo</cp:lastModifiedBy>
  <dcterms:created xsi:type="dcterms:W3CDTF">2012-11-21T14:45:25Z</dcterms:created>
  <dcterms:modified xsi:type="dcterms:W3CDTF">2012-11-22T12:52:44Z</dcterms:modified>
</cp:coreProperties>
</file>