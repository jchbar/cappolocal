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195" windowHeight="8190" activeTab="1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E83" i="2" l="1"/>
  <c r="D83" i="2"/>
  <c r="C83" i="2"/>
  <c r="B83" i="2"/>
  <c r="A83" i="2"/>
  <c r="E82" i="2"/>
  <c r="D82" i="2"/>
  <c r="C82" i="2"/>
  <c r="B82" i="2"/>
  <c r="A82" i="2"/>
  <c r="E81" i="2"/>
  <c r="D81" i="2"/>
  <c r="C81" i="2"/>
  <c r="B81" i="2"/>
  <c r="A81" i="2"/>
  <c r="E80" i="2"/>
  <c r="D80" i="2"/>
  <c r="C80" i="2"/>
  <c r="B80" i="2"/>
  <c r="A80" i="2"/>
  <c r="E79" i="2"/>
  <c r="D79" i="2"/>
  <c r="C79" i="2"/>
  <c r="B79" i="2"/>
  <c r="A79" i="2"/>
  <c r="E78" i="2"/>
  <c r="D78" i="2"/>
  <c r="C78" i="2"/>
  <c r="B78" i="2"/>
  <c r="A78" i="2"/>
  <c r="E77" i="2"/>
  <c r="D77" i="2"/>
  <c r="C77" i="2"/>
  <c r="B77" i="2"/>
  <c r="A77" i="2"/>
  <c r="E76" i="2"/>
  <c r="D76" i="2"/>
  <c r="C76" i="2"/>
  <c r="B76" i="2"/>
  <c r="A76" i="2"/>
  <c r="E75" i="2"/>
  <c r="D75" i="2"/>
  <c r="C75" i="2"/>
  <c r="B75" i="2"/>
  <c r="A75" i="2"/>
  <c r="E74" i="2"/>
  <c r="D74" i="2"/>
  <c r="C74" i="2"/>
  <c r="B74" i="2"/>
  <c r="A74" i="2"/>
  <c r="E73" i="2"/>
  <c r="D73" i="2"/>
  <c r="C73" i="2"/>
  <c r="B73" i="2"/>
  <c r="A73" i="2"/>
  <c r="E72" i="2"/>
  <c r="D72" i="2"/>
  <c r="C72" i="2"/>
  <c r="B72" i="2"/>
  <c r="A72" i="2"/>
  <c r="E71" i="2"/>
  <c r="D71" i="2"/>
  <c r="C71" i="2"/>
  <c r="B71" i="2"/>
  <c r="A71" i="2"/>
  <c r="E70" i="2"/>
  <c r="D70" i="2"/>
  <c r="C70" i="2"/>
  <c r="B70" i="2"/>
  <c r="A70" i="2"/>
  <c r="E69" i="2"/>
  <c r="D69" i="2"/>
  <c r="C69" i="2"/>
  <c r="B69" i="2"/>
  <c r="A69" i="2"/>
  <c r="E68" i="2"/>
  <c r="D68" i="2"/>
  <c r="C68" i="2"/>
  <c r="B68" i="2"/>
  <c r="A68" i="2"/>
  <c r="E67" i="2"/>
  <c r="D67" i="2"/>
  <c r="C67" i="2"/>
  <c r="B67" i="2"/>
  <c r="A67" i="2"/>
  <c r="E66" i="2"/>
  <c r="D66" i="2"/>
  <c r="C66" i="2"/>
  <c r="B66" i="2"/>
  <c r="A66" i="2"/>
  <c r="E65" i="2"/>
  <c r="D65" i="2"/>
  <c r="C65" i="2"/>
  <c r="B65" i="2"/>
  <c r="A65" i="2"/>
  <c r="E64" i="2"/>
  <c r="D64" i="2"/>
  <c r="C64" i="2"/>
  <c r="B64" i="2"/>
  <c r="A64" i="2"/>
  <c r="E63" i="2"/>
  <c r="D63" i="2"/>
  <c r="C63" i="2"/>
  <c r="B63" i="2"/>
  <c r="A63" i="2"/>
  <c r="E62" i="2"/>
  <c r="D62" i="2"/>
  <c r="C62" i="2"/>
  <c r="B62" i="2"/>
  <c r="A62" i="2"/>
  <c r="E61" i="2"/>
  <c r="D61" i="2"/>
  <c r="C61" i="2"/>
  <c r="B61" i="2"/>
  <c r="A61" i="2"/>
  <c r="E60" i="2"/>
  <c r="D60" i="2"/>
  <c r="C60" i="2"/>
  <c r="B60" i="2"/>
  <c r="A60" i="2"/>
  <c r="E59" i="2"/>
  <c r="D59" i="2"/>
  <c r="C59" i="2"/>
  <c r="B59" i="2"/>
  <c r="A59" i="2"/>
  <c r="E58" i="2"/>
  <c r="D58" i="2"/>
  <c r="C58" i="2"/>
  <c r="B58" i="2"/>
  <c r="A58" i="2"/>
  <c r="E57" i="2"/>
  <c r="D57" i="2"/>
  <c r="C57" i="2"/>
  <c r="B57" i="2"/>
  <c r="A57" i="2"/>
  <c r="E56" i="2"/>
  <c r="D56" i="2"/>
  <c r="C56" i="2"/>
  <c r="B56" i="2"/>
  <c r="A56" i="2"/>
  <c r="E55" i="2"/>
  <c r="D55" i="2"/>
  <c r="C55" i="2"/>
  <c r="B55" i="2"/>
  <c r="A55" i="2"/>
  <c r="E54" i="2"/>
  <c r="D54" i="2"/>
  <c r="C54" i="2"/>
  <c r="B54" i="2"/>
  <c r="A54" i="2"/>
  <c r="E53" i="2"/>
  <c r="D53" i="2"/>
  <c r="C53" i="2"/>
  <c r="B53" i="2"/>
  <c r="A53" i="2"/>
  <c r="E52" i="2"/>
  <c r="D52" i="2"/>
  <c r="C52" i="2"/>
  <c r="B52" i="2"/>
  <c r="A52" i="2"/>
  <c r="E51" i="2"/>
  <c r="D51" i="2"/>
  <c r="C51" i="2"/>
  <c r="B51" i="2"/>
  <c r="A51" i="2"/>
  <c r="E50" i="2"/>
  <c r="D50" i="2"/>
  <c r="C50" i="2"/>
  <c r="B50" i="2"/>
  <c r="A50" i="2"/>
  <c r="E49" i="2"/>
  <c r="D49" i="2"/>
  <c r="C49" i="2"/>
  <c r="B49" i="2"/>
  <c r="A49" i="2"/>
  <c r="E48" i="2"/>
  <c r="D48" i="2"/>
  <c r="C48" i="2"/>
  <c r="B48" i="2"/>
  <c r="A48" i="2"/>
  <c r="E47" i="2"/>
  <c r="D47" i="2"/>
  <c r="C47" i="2"/>
  <c r="B47" i="2"/>
  <c r="A47" i="2"/>
  <c r="E46" i="2"/>
  <c r="D46" i="2"/>
  <c r="C46" i="2"/>
  <c r="B46" i="2"/>
  <c r="A46" i="2"/>
  <c r="E45" i="2"/>
  <c r="D45" i="2"/>
  <c r="C45" i="2"/>
  <c r="B45" i="2"/>
  <c r="A45" i="2"/>
  <c r="E44" i="2"/>
  <c r="D44" i="2"/>
  <c r="C44" i="2"/>
  <c r="B44" i="2"/>
  <c r="A44" i="2"/>
  <c r="E43" i="2"/>
  <c r="D43" i="2"/>
  <c r="C43" i="2"/>
  <c r="B43" i="2"/>
  <c r="A43" i="2"/>
  <c r="E42" i="2"/>
  <c r="D42" i="2"/>
  <c r="C42" i="2"/>
  <c r="B42" i="2"/>
  <c r="A42" i="2"/>
  <c r="E41" i="2"/>
  <c r="D41" i="2"/>
  <c r="C41" i="2"/>
  <c r="B41" i="2"/>
  <c r="A41" i="2"/>
  <c r="E40" i="2"/>
  <c r="D40" i="2"/>
  <c r="C40" i="2"/>
  <c r="B40" i="2"/>
  <c r="A40" i="2"/>
  <c r="E39" i="2"/>
  <c r="D39" i="2"/>
  <c r="C39" i="2"/>
  <c r="B39" i="2"/>
  <c r="A39" i="2"/>
  <c r="E38" i="2"/>
  <c r="D38" i="2"/>
  <c r="C38" i="2"/>
  <c r="B38" i="2"/>
  <c r="A38" i="2"/>
  <c r="E37" i="2"/>
  <c r="D37" i="2"/>
  <c r="C37" i="2"/>
  <c r="B37" i="2"/>
  <c r="A37" i="2"/>
  <c r="E36" i="2"/>
  <c r="D36" i="2"/>
  <c r="C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C33" i="2"/>
  <c r="B33" i="2"/>
  <c r="A33" i="2"/>
  <c r="E32" i="2"/>
  <c r="D32" i="2"/>
  <c r="C32" i="2"/>
  <c r="B32" i="2"/>
  <c r="A32" i="2"/>
  <c r="E31" i="2"/>
  <c r="D31" i="2"/>
  <c r="C31" i="2"/>
  <c r="B31" i="2"/>
  <c r="A31" i="2"/>
  <c r="E30" i="2"/>
  <c r="D30" i="2"/>
  <c r="C30" i="2"/>
  <c r="B30" i="2"/>
  <c r="A30" i="2"/>
  <c r="E29" i="2"/>
  <c r="D29" i="2"/>
  <c r="C29" i="2"/>
  <c r="B29" i="2"/>
  <c r="A29" i="2"/>
  <c r="E28" i="2"/>
  <c r="D28" i="2"/>
  <c r="C28" i="2"/>
  <c r="B28" i="2"/>
  <c r="A28" i="2"/>
  <c r="E27" i="2"/>
  <c r="D27" i="2"/>
  <c r="C27" i="2"/>
  <c r="B27" i="2"/>
  <c r="A27" i="2"/>
  <c r="E26" i="2"/>
  <c r="D26" i="2"/>
  <c r="C26" i="2"/>
  <c r="B26" i="2"/>
  <c r="A26" i="2"/>
  <c r="E25" i="2"/>
  <c r="D25" i="2"/>
  <c r="C25" i="2"/>
  <c r="B25" i="2"/>
  <c r="A25" i="2"/>
  <c r="E24" i="2"/>
  <c r="D24" i="2"/>
  <c r="C24" i="2"/>
  <c r="B24" i="2"/>
  <c r="A24" i="2"/>
  <c r="E23" i="2"/>
  <c r="D23" i="2"/>
  <c r="C23" i="2"/>
  <c r="B23" i="2"/>
  <c r="A23" i="2"/>
  <c r="E22" i="2"/>
  <c r="D22" i="2"/>
  <c r="C22" i="2"/>
  <c r="B22" i="2"/>
  <c r="A22" i="2"/>
  <c r="E21" i="2"/>
  <c r="D21" i="2"/>
  <c r="C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C18" i="2"/>
  <c r="B18" i="2"/>
  <c r="A18" i="2"/>
  <c r="E17" i="2"/>
  <c r="D17" i="2"/>
  <c r="C17" i="2"/>
  <c r="B17" i="2"/>
  <c r="A17" i="2"/>
  <c r="E16" i="2"/>
  <c r="D16" i="2"/>
  <c r="C16" i="2"/>
  <c r="B16" i="2"/>
  <c r="A16" i="2"/>
  <c r="E15" i="2"/>
  <c r="D15" i="2"/>
  <c r="C15" i="2"/>
  <c r="B15" i="2"/>
  <c r="A15" i="2"/>
  <c r="E14" i="2"/>
  <c r="D14" i="2"/>
  <c r="C14" i="2"/>
  <c r="B14" i="2"/>
  <c r="A14" i="2"/>
  <c r="E13" i="2"/>
  <c r="D13" i="2"/>
  <c r="C13" i="2"/>
  <c r="B13" i="2"/>
  <c r="A13" i="2"/>
  <c r="E12" i="2"/>
  <c r="D12" i="2"/>
  <c r="C12" i="2"/>
  <c r="B12" i="2"/>
  <c r="A12" i="2"/>
  <c r="E11" i="2"/>
  <c r="D11" i="2"/>
  <c r="C11" i="2"/>
  <c r="B11" i="2"/>
  <c r="A11" i="2"/>
  <c r="E10" i="2"/>
  <c r="D10" i="2"/>
  <c r="C10" i="2"/>
  <c r="B10" i="2"/>
  <c r="A10" i="2"/>
  <c r="E9" i="2"/>
  <c r="D9" i="2"/>
  <c r="C9" i="2"/>
  <c r="B9" i="2"/>
  <c r="A9" i="2"/>
  <c r="E8" i="2"/>
  <c r="D8" i="2"/>
  <c r="C8" i="2"/>
  <c r="B8" i="2"/>
  <c r="A8" i="2"/>
  <c r="E7" i="2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E2" i="2"/>
  <c r="D2" i="2"/>
  <c r="C2" i="2"/>
  <c r="B2" i="2"/>
  <c r="A2" i="2"/>
  <c r="E1" i="2"/>
  <c r="D1" i="2"/>
  <c r="C1" i="2"/>
  <c r="B1" i="2"/>
  <c r="A1" i="2"/>
</calcChain>
</file>

<file path=xl/sharedStrings.xml><?xml version="1.0" encoding="utf-8"?>
<sst xmlns="http://schemas.openxmlformats.org/spreadsheetml/2006/main" count="188" uniqueCount="162">
  <si>
    <t xml:space="preserve">FARMACIA UNIVERSIDAD </t>
  </si>
  <si>
    <t>C A P P O - U C L A</t>
  </si>
  <si>
    <t>Carrera 21 entre Calles 12 y 13 Nro 12-13 telef. 0251-2524973/2527081</t>
  </si>
  <si>
    <t>Relación de Cobranza</t>
  </si>
  <si>
    <t xml:space="preserve"> CAPPO - UCLA</t>
  </si>
  <si>
    <t>Desde  22/10/12 Hasta: 31/10/12</t>
  </si>
  <si>
    <t>Fecha</t>
  </si>
  <si>
    <t>Apellido y Nombre</t>
  </si>
  <si>
    <t>Cédula</t>
  </si>
  <si>
    <t>Cod. Socio</t>
  </si>
  <si>
    <t>Factura</t>
  </si>
  <si>
    <t>Monto</t>
  </si>
  <si>
    <t>Dcto. Clte.</t>
  </si>
  <si>
    <t>Total Facturas</t>
  </si>
  <si>
    <t>Dcto. Cap.</t>
  </si>
  <si>
    <t>IVA</t>
  </si>
  <si>
    <t>Neto</t>
  </si>
  <si>
    <t>ALVARADO  RAMIRO</t>
  </si>
  <si>
    <t>00117</t>
  </si>
  <si>
    <t>ALVARADO  RAMON</t>
  </si>
  <si>
    <t>00114</t>
  </si>
  <si>
    <t>ALVAREZ NINOSKA</t>
  </si>
  <si>
    <t>02613</t>
  </si>
  <si>
    <t>ALVAREZ THAIS</t>
  </si>
  <si>
    <t>00192</t>
  </si>
  <si>
    <t>ANDRADE FREDDY</t>
  </si>
  <si>
    <t>00183</t>
  </si>
  <si>
    <t>ANZOLA BLADIMIR</t>
  </si>
  <si>
    <t>00149</t>
  </si>
  <si>
    <t>ARRIECHE P. SILVIO</t>
  </si>
  <si>
    <t>00174</t>
  </si>
  <si>
    <t>ARRIECHE RAFAEL</t>
  </si>
  <si>
    <t>00186</t>
  </si>
  <si>
    <t>BELLO LAYA JULIO</t>
  </si>
  <si>
    <t>0222</t>
  </si>
  <si>
    <t>CARRASCO TONDIS</t>
  </si>
  <si>
    <t>00387</t>
  </si>
  <si>
    <t>CASTILLO  JOSE</t>
  </si>
  <si>
    <t>00314</t>
  </si>
  <si>
    <t>CASTILLO HONORIO</t>
  </si>
  <si>
    <t>00355</t>
  </si>
  <si>
    <t>CASTILLO M. RAMON</t>
  </si>
  <si>
    <t>00340</t>
  </si>
  <si>
    <t>COLMENAREZ  MIGUEL</t>
  </si>
  <si>
    <t>00346</t>
  </si>
  <si>
    <t>COLMENAREZ LUIS</t>
  </si>
  <si>
    <t>00363</t>
  </si>
  <si>
    <t>CONDES HECTOR</t>
  </si>
  <si>
    <t>00381</t>
  </si>
  <si>
    <t>DAVILA CHACON INGRID</t>
  </si>
  <si>
    <t>00522</t>
  </si>
  <si>
    <t>DIAZ DIAZ JUAN</t>
  </si>
  <si>
    <t>00505</t>
  </si>
  <si>
    <t>ESCALONA MOISES</t>
  </si>
  <si>
    <t>00629</t>
  </si>
  <si>
    <t>GARCES  NELLY</t>
  </si>
  <si>
    <t>00800</t>
  </si>
  <si>
    <t>GIL  PABLO</t>
  </si>
  <si>
    <t>00814</t>
  </si>
  <si>
    <t>GIL RAFAEL</t>
  </si>
  <si>
    <t>00925</t>
  </si>
  <si>
    <t>GIMENEZ  ERNESTO</t>
  </si>
  <si>
    <t>00919</t>
  </si>
  <si>
    <t>GIMENEZ JOSE</t>
  </si>
  <si>
    <t>00882</t>
  </si>
  <si>
    <t>GOMEZ MEDINA JUAN</t>
  </si>
  <si>
    <t>00918</t>
  </si>
  <si>
    <t>GONZALEZ  ALBERTO</t>
  </si>
  <si>
    <t>00862</t>
  </si>
  <si>
    <t>GRATEROL JHONNY</t>
  </si>
  <si>
    <t>00938</t>
  </si>
  <si>
    <t>GUERRA  JOSE</t>
  </si>
  <si>
    <t>00869</t>
  </si>
  <si>
    <t>GUEVARA  JOSE</t>
  </si>
  <si>
    <t>00848</t>
  </si>
  <si>
    <t>HERNANDEZ  CARLOS</t>
  </si>
  <si>
    <t>00908</t>
  </si>
  <si>
    <t>HUGGINS ALVES</t>
  </si>
  <si>
    <t>09011</t>
  </si>
  <si>
    <t>ISAZA BERTHA</t>
  </si>
  <si>
    <t>02507</t>
  </si>
  <si>
    <t>JIMENEZ EDGAR SOLANO</t>
  </si>
  <si>
    <t>01104</t>
  </si>
  <si>
    <t>LEON VELASQUEZ LEIDY</t>
  </si>
  <si>
    <t>01348</t>
  </si>
  <si>
    <t>LOPEZ ANA</t>
  </si>
  <si>
    <t>01337</t>
  </si>
  <si>
    <t>MADRIZ  GIOVANNY</t>
  </si>
  <si>
    <t>01518</t>
  </si>
  <si>
    <t>MARIN C. ANTONIO</t>
  </si>
  <si>
    <t>01513</t>
  </si>
  <si>
    <t>MARQUEZ CARMEN</t>
  </si>
  <si>
    <t>01403</t>
  </si>
  <si>
    <t>MARTINEZ JOSE</t>
  </si>
  <si>
    <t>01442</t>
  </si>
  <si>
    <t>MENDEZ MARLENE</t>
  </si>
  <si>
    <t>01463</t>
  </si>
  <si>
    <t>MENDOZA  JORGE</t>
  </si>
  <si>
    <t>01465</t>
  </si>
  <si>
    <t>ORELLANA B. WILLIAM</t>
  </si>
  <si>
    <t>01617</t>
  </si>
  <si>
    <t>OVIEDO  JOSE</t>
  </si>
  <si>
    <t>01620</t>
  </si>
  <si>
    <t>PAEZ NEIDA NOHEMY</t>
  </si>
  <si>
    <t>01636</t>
  </si>
  <si>
    <t>PARADA CORNELIO</t>
  </si>
  <si>
    <t>001780</t>
  </si>
  <si>
    <t>PERDOMO  OMAIRA</t>
  </si>
  <si>
    <t>01784</t>
  </si>
  <si>
    <t>PEREZ  NUBIA</t>
  </si>
  <si>
    <t>01779</t>
  </si>
  <si>
    <t>PEREZ  ROLANDO</t>
  </si>
  <si>
    <t>01827</t>
  </si>
  <si>
    <t>PEREZ ALEXANDER</t>
  </si>
  <si>
    <t>01786</t>
  </si>
  <si>
    <t>PEROZO GREGORIO</t>
  </si>
  <si>
    <t>01758</t>
  </si>
  <si>
    <t>PIÑA  DAISY</t>
  </si>
  <si>
    <t>01777</t>
  </si>
  <si>
    <t>RIVAS BARRETO JOSE</t>
  </si>
  <si>
    <t>01980</t>
  </si>
  <si>
    <t>RIVERO  FREDDY</t>
  </si>
  <si>
    <t>01951</t>
  </si>
  <si>
    <t>RIVERO JOSE</t>
  </si>
  <si>
    <t>01960</t>
  </si>
  <si>
    <t>RODRIGUEZ  EVELIO</t>
  </si>
  <si>
    <t>01954</t>
  </si>
  <si>
    <t xml:space="preserve">SALAS FELIX </t>
  </si>
  <si>
    <t>02042</t>
  </si>
  <si>
    <t>519252</t>
  </si>
  <si>
    <t>SANCHEZ  JUAN</t>
  </si>
  <si>
    <t>00860</t>
  </si>
  <si>
    <t>SANCHEZ  MARLENE</t>
  </si>
  <si>
    <t>02035</t>
  </si>
  <si>
    <t>SANCHEZ FRANCIA</t>
  </si>
  <si>
    <t>02000</t>
  </si>
  <si>
    <t>SILVA GARCIA RAFAEL</t>
  </si>
  <si>
    <t>02072</t>
  </si>
  <si>
    <t>SOTO EDUARDO</t>
  </si>
  <si>
    <t>02047</t>
  </si>
  <si>
    <t>SUAREZ CASTILLO WINS</t>
  </si>
  <si>
    <t>02063</t>
  </si>
  <si>
    <t>SUAREZ MARTINEZ ALEX</t>
  </si>
  <si>
    <t>02099</t>
  </si>
  <si>
    <t>VALECILLOS GIAN CARL</t>
  </si>
  <si>
    <t>02343</t>
  </si>
  <si>
    <t>VALLES  ORLANDO</t>
  </si>
  <si>
    <t>02324</t>
  </si>
  <si>
    <t>VASQUEZ JHONNYS</t>
  </si>
  <si>
    <t>02345</t>
  </si>
  <si>
    <t>VASQUEZ RAMON</t>
  </si>
  <si>
    <t>02333</t>
  </si>
  <si>
    <t>VASQUEZ U. EDIXON</t>
  </si>
  <si>
    <t>02348</t>
  </si>
  <si>
    <t>VIRGUEZ DARWIN</t>
  </si>
  <si>
    <t>02344</t>
  </si>
  <si>
    <t>VISCAYA PEDRO</t>
  </si>
  <si>
    <t>02341</t>
  </si>
  <si>
    <t>Elaborado Por:</t>
  </si>
  <si>
    <t xml:space="preserve">Recibido: (Firma y Sello) </t>
  </si>
  <si>
    <t>Yuris Reyes</t>
  </si>
  <si>
    <t>CAPPO-UCLA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</si>
</sst>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;[Red]#,##0"/>
    <numFmt numFmtId="166" formatCode="_([$€-2]\ * #,##0.00_);_([$€-2]\ * \(#,##0.00\);_([$€-2]\ * &quot;-&quot;??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1"/>
    <xf numFmtId="0" fontId="2" fillId="0" borderId="0" xfId="1" applyFont="1" applyAlignment="1"/>
    <xf numFmtId="164" fontId="2" fillId="0" borderId="0" xfId="1" applyNumberFormat="1" applyFont="1" applyAlignment="1">
      <alignment horizontal="right"/>
    </xf>
    <xf numFmtId="164" fontId="2" fillId="0" borderId="0" xfId="1" applyNumberFormat="1" applyFont="1"/>
    <xf numFmtId="165" fontId="5" fillId="0" borderId="7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10" fillId="0" borderId="7" xfId="0" applyNumberFormat="1" applyFont="1" applyBorder="1"/>
    <xf numFmtId="165" fontId="11" fillId="0" borderId="7" xfId="1" applyNumberFormat="1" applyFont="1" applyBorder="1" applyAlignment="1">
      <alignment horizontal="right"/>
    </xf>
    <xf numFmtId="49" fontId="11" fillId="0" borderId="7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right"/>
    </xf>
    <xf numFmtId="0" fontId="10" fillId="0" borderId="7" xfId="0" applyFont="1" applyBorder="1"/>
    <xf numFmtId="14" fontId="11" fillId="0" borderId="7" xfId="0" applyNumberFormat="1" applyFont="1" applyBorder="1"/>
    <xf numFmtId="49" fontId="10" fillId="0" borderId="7" xfId="0" applyNumberFormat="1" applyFont="1" applyBorder="1" applyAlignment="1">
      <alignment horizontal="center"/>
    </xf>
    <xf numFmtId="164" fontId="12" fillId="0" borderId="0" xfId="1" applyNumberFormat="1" applyFont="1" applyBorder="1"/>
    <xf numFmtId="164" fontId="12" fillId="0" borderId="0" xfId="1" applyNumberFormat="1" applyFont="1" applyFill="1" applyBorder="1" applyAlignment="1">
      <alignment horizontal="right"/>
    </xf>
    <xf numFmtId="164" fontId="12" fillId="0" borderId="0" xfId="1" applyNumberFormat="1" applyFont="1" applyBorder="1" applyAlignment="1">
      <alignment horizontal="right"/>
    </xf>
    <xf numFmtId="164" fontId="11" fillId="0" borderId="9" xfId="0" applyNumberFormat="1" applyFont="1" applyFill="1" applyBorder="1" applyAlignment="1">
      <alignment vertical="center"/>
    </xf>
    <xf numFmtId="164" fontId="11" fillId="0" borderId="0" xfId="0" applyNumberFormat="1" applyFont="1" applyFill="1" applyBorder="1" applyAlignment="1">
      <alignment vertical="center"/>
    </xf>
    <xf numFmtId="164" fontId="13" fillId="0" borderId="7" xfId="1" applyNumberFormat="1" applyFont="1" applyBorder="1" applyAlignment="1">
      <alignment horizontal="center"/>
    </xf>
    <xf numFmtId="0" fontId="1" fillId="0" borderId="0" xfId="1" applyBorder="1"/>
    <xf numFmtId="164" fontId="5" fillId="0" borderId="0" xfId="1" applyNumberFormat="1" applyFont="1" applyBorder="1" applyAlignment="1">
      <alignment horizontal="center"/>
    </xf>
    <xf numFmtId="164" fontId="14" fillId="0" borderId="0" xfId="0" applyNumberFormat="1" applyFont="1" applyBorder="1"/>
    <xf numFmtId="164" fontId="12" fillId="0" borderId="9" xfId="1" applyNumberFormat="1" applyFont="1" applyFill="1" applyBorder="1" applyAlignment="1">
      <alignment horizontal="right"/>
    </xf>
    <xf numFmtId="164" fontId="11" fillId="0" borderId="9" xfId="1" applyNumberFormat="1" applyFont="1" applyFill="1" applyBorder="1" applyAlignment="1">
      <alignment vertical="center"/>
    </xf>
    <xf numFmtId="164" fontId="11" fillId="0" borderId="13" xfId="0" applyNumberFormat="1" applyFont="1" applyFill="1" applyBorder="1" applyAlignment="1">
      <alignment vertical="center"/>
    </xf>
    <xf numFmtId="164" fontId="11" fillId="0" borderId="0" xfId="1" applyNumberFormat="1" applyFont="1" applyFill="1" applyBorder="1" applyAlignment="1">
      <alignment vertical="center"/>
    </xf>
    <xf numFmtId="164" fontId="11" fillId="0" borderId="12" xfId="0" applyNumberFormat="1" applyFont="1" applyFill="1" applyBorder="1" applyAlignment="1">
      <alignment vertical="center"/>
    </xf>
    <xf numFmtId="0" fontId="7" fillId="0" borderId="0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164" fontId="11" fillId="0" borderId="13" xfId="0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49" fontId="6" fillId="0" borderId="0" xfId="1" applyNumberFormat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10" xfId="1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165" fontId="5" fillId="0" borderId="10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65" fontId="2" fillId="0" borderId="11" xfId="1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0" borderId="8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7"/>
  <sheetViews>
    <sheetView workbookViewId="0">
      <selection activeCell="J10" sqref="J10"/>
    </sheetView>
  </sheetViews>
  <sheetFormatPr baseColWidth="10" defaultRowHeight="15" x14ac:dyDescent="0.25"/>
  <sheetData>
    <row r="2" spans="1:12" ht="15.75" x14ac:dyDescent="0.3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25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x14ac:dyDescent="0.25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x14ac:dyDescent="0.25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x14ac:dyDescent="0.25">
      <c r="A6" s="34" t="s">
        <v>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x14ac:dyDescent="0.25">
      <c r="A7" s="41" t="s">
        <v>5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2" x14ac:dyDescent="0.25">
      <c r="A8" s="6" t="s">
        <v>6</v>
      </c>
      <c r="B8" s="6" t="s">
        <v>7</v>
      </c>
      <c r="C8" s="5" t="s">
        <v>8</v>
      </c>
      <c r="D8" s="5" t="s">
        <v>9</v>
      </c>
      <c r="E8" s="6" t="s">
        <v>10</v>
      </c>
      <c r="F8" s="7" t="s">
        <v>11</v>
      </c>
      <c r="G8" s="7" t="s">
        <v>12</v>
      </c>
      <c r="H8" s="42" t="s">
        <v>13</v>
      </c>
      <c r="I8" s="42"/>
      <c r="J8" s="20" t="s">
        <v>14</v>
      </c>
      <c r="K8" s="7" t="s">
        <v>15</v>
      </c>
      <c r="L8" s="7" t="s">
        <v>16</v>
      </c>
    </row>
    <row r="9" spans="1:12" x14ac:dyDescent="0.25">
      <c r="A9" s="13">
        <v>41204</v>
      </c>
      <c r="B9" s="12" t="s">
        <v>17</v>
      </c>
      <c r="C9" s="9">
        <v>4385047</v>
      </c>
      <c r="D9" s="10" t="s">
        <v>18</v>
      </c>
      <c r="E9" s="14">
        <v>519223</v>
      </c>
      <c r="F9" s="8">
        <v>712</v>
      </c>
      <c r="G9" s="8">
        <v>142.4</v>
      </c>
      <c r="H9" s="8">
        <v>569.6</v>
      </c>
      <c r="I9" s="28"/>
      <c r="J9" s="11">
        <v>28.480000000000004</v>
      </c>
      <c r="K9" s="8">
        <v>0</v>
      </c>
      <c r="L9" s="11">
        <v>541.12</v>
      </c>
    </row>
    <row r="10" spans="1:12" x14ac:dyDescent="0.25">
      <c r="A10" s="13">
        <v>41204</v>
      </c>
      <c r="B10" s="12" t="s">
        <v>19</v>
      </c>
      <c r="C10" s="9">
        <v>10784623</v>
      </c>
      <c r="D10" s="10" t="s">
        <v>20</v>
      </c>
      <c r="E10" s="14">
        <v>519339</v>
      </c>
      <c r="F10" s="8">
        <v>303.18</v>
      </c>
      <c r="G10" s="8">
        <v>59.57</v>
      </c>
      <c r="H10" s="8">
        <v>244.25</v>
      </c>
      <c r="I10" s="26"/>
      <c r="J10" s="11">
        <v>12.2125</v>
      </c>
      <c r="K10" s="8">
        <v>0.64</v>
      </c>
      <c r="L10" s="11">
        <v>232.03749999999999</v>
      </c>
    </row>
    <row r="11" spans="1:12" x14ac:dyDescent="0.25">
      <c r="A11" s="13">
        <v>41204</v>
      </c>
      <c r="B11" s="12" t="s">
        <v>21</v>
      </c>
      <c r="C11" s="9">
        <v>18785684</v>
      </c>
      <c r="D11" s="10" t="s">
        <v>22</v>
      </c>
      <c r="E11" s="14">
        <v>519180</v>
      </c>
      <c r="F11" s="8">
        <v>558.36</v>
      </c>
      <c r="G11" s="8">
        <v>72</v>
      </c>
      <c r="H11" s="8">
        <v>498.36</v>
      </c>
      <c r="I11" s="18"/>
      <c r="J11" s="11">
        <v>24.918000000000003</v>
      </c>
      <c r="K11" s="8">
        <v>12</v>
      </c>
      <c r="L11" s="11">
        <v>473.44200000000001</v>
      </c>
    </row>
    <row r="12" spans="1:12" x14ac:dyDescent="0.25">
      <c r="A12" s="13">
        <v>41204</v>
      </c>
      <c r="B12" s="12" t="s">
        <v>23</v>
      </c>
      <c r="C12" s="9">
        <v>13346269</v>
      </c>
      <c r="D12" s="10" t="s">
        <v>24</v>
      </c>
      <c r="E12" s="14">
        <v>519316</v>
      </c>
      <c r="F12" s="8">
        <v>200.54</v>
      </c>
      <c r="G12" s="8">
        <v>22.4</v>
      </c>
      <c r="H12" s="8">
        <v>187.66</v>
      </c>
      <c r="I12" s="24"/>
      <c r="J12" s="11">
        <v>9.3830000000000009</v>
      </c>
      <c r="K12" s="8">
        <v>9.52</v>
      </c>
      <c r="L12" s="11">
        <v>178.27699999999999</v>
      </c>
    </row>
    <row r="13" spans="1:12" x14ac:dyDescent="0.25">
      <c r="A13" s="13">
        <v>41204</v>
      </c>
      <c r="B13" s="12" t="s">
        <v>25</v>
      </c>
      <c r="C13" s="9">
        <v>13180551</v>
      </c>
      <c r="D13" s="10" t="s">
        <v>26</v>
      </c>
      <c r="E13" s="14">
        <v>519056</v>
      </c>
      <c r="F13" s="8">
        <v>458</v>
      </c>
      <c r="G13" s="8">
        <v>91.6</v>
      </c>
      <c r="H13" s="8">
        <v>366.4</v>
      </c>
      <c r="I13" s="32">
        <v>392.53999999999996</v>
      </c>
      <c r="J13" s="11">
        <v>18.32</v>
      </c>
      <c r="K13" s="8">
        <v>0</v>
      </c>
      <c r="L13" s="11">
        <v>348.08</v>
      </c>
    </row>
    <row r="14" spans="1:12" x14ac:dyDescent="0.25">
      <c r="A14" s="13">
        <v>41204</v>
      </c>
      <c r="B14" s="12" t="s">
        <v>25</v>
      </c>
      <c r="C14" s="9">
        <v>13180551</v>
      </c>
      <c r="D14" s="10" t="s">
        <v>26</v>
      </c>
      <c r="E14" s="14">
        <v>519057</v>
      </c>
      <c r="F14" s="8">
        <v>26.14</v>
      </c>
      <c r="G14" s="8">
        <v>0</v>
      </c>
      <c r="H14" s="8">
        <v>26.14</v>
      </c>
      <c r="I14" s="32"/>
      <c r="J14" s="11">
        <v>0</v>
      </c>
      <c r="K14" s="8">
        <v>0</v>
      </c>
      <c r="L14" s="11">
        <v>26.14</v>
      </c>
    </row>
    <row r="15" spans="1:12" x14ac:dyDescent="0.25">
      <c r="A15" s="13">
        <v>41205</v>
      </c>
      <c r="B15" s="12" t="s">
        <v>27</v>
      </c>
      <c r="C15" s="9">
        <v>11269196</v>
      </c>
      <c r="D15" s="10" t="s">
        <v>28</v>
      </c>
      <c r="E15" s="14">
        <v>519153</v>
      </c>
      <c r="F15" s="8">
        <v>258.29000000000002</v>
      </c>
      <c r="G15" s="8">
        <v>50.85</v>
      </c>
      <c r="H15" s="8">
        <v>207.44</v>
      </c>
      <c r="I15" s="32">
        <v>348.24</v>
      </c>
      <c r="J15" s="11">
        <v>10.372</v>
      </c>
      <c r="K15" s="8">
        <v>0</v>
      </c>
      <c r="L15" s="11">
        <v>197.06799999999998</v>
      </c>
    </row>
    <row r="16" spans="1:12" x14ac:dyDescent="0.25">
      <c r="A16" s="13">
        <v>41205</v>
      </c>
      <c r="B16" s="12" t="s">
        <v>27</v>
      </c>
      <c r="C16" s="9">
        <v>11269196</v>
      </c>
      <c r="D16" s="10" t="s">
        <v>28</v>
      </c>
      <c r="E16" s="14">
        <v>519198</v>
      </c>
      <c r="F16" s="8">
        <v>176</v>
      </c>
      <c r="G16" s="8">
        <v>35.200000000000003</v>
      </c>
      <c r="H16" s="8">
        <v>140.80000000000001</v>
      </c>
      <c r="I16" s="32"/>
      <c r="J16" s="11">
        <v>7.0400000000000009</v>
      </c>
      <c r="K16" s="8">
        <v>0</v>
      </c>
      <c r="L16" s="11">
        <v>133.76000000000002</v>
      </c>
    </row>
    <row r="17" spans="1:12" x14ac:dyDescent="0.25">
      <c r="A17" s="13">
        <v>41205</v>
      </c>
      <c r="B17" s="12" t="s">
        <v>29</v>
      </c>
      <c r="C17" s="9">
        <v>12848719</v>
      </c>
      <c r="D17" s="10" t="s">
        <v>30</v>
      </c>
      <c r="E17" s="14">
        <v>519107</v>
      </c>
      <c r="F17" s="8">
        <v>126</v>
      </c>
      <c r="G17" s="8">
        <v>25.2</v>
      </c>
      <c r="H17" s="8">
        <v>100.8</v>
      </c>
      <c r="I17" s="24"/>
      <c r="J17" s="11">
        <v>5.04</v>
      </c>
      <c r="K17" s="8">
        <v>0</v>
      </c>
      <c r="L17" s="11">
        <v>95.759999999999991</v>
      </c>
    </row>
    <row r="18" spans="1:12" x14ac:dyDescent="0.25">
      <c r="A18" s="13">
        <v>41205</v>
      </c>
      <c r="B18" s="12" t="s">
        <v>31</v>
      </c>
      <c r="C18" s="9">
        <v>7444842</v>
      </c>
      <c r="D18" s="10" t="s">
        <v>32</v>
      </c>
      <c r="E18" s="14">
        <v>519118</v>
      </c>
      <c r="F18" s="8">
        <v>347.1</v>
      </c>
      <c r="G18" s="8">
        <v>67.400000000000006</v>
      </c>
      <c r="H18" s="8">
        <v>279.7</v>
      </c>
      <c r="I18" s="24"/>
      <c r="J18" s="11">
        <v>13.984999999999999</v>
      </c>
      <c r="K18" s="8">
        <v>0</v>
      </c>
      <c r="L18" s="11">
        <v>265.71499999999997</v>
      </c>
    </row>
    <row r="19" spans="1:12" x14ac:dyDescent="0.25">
      <c r="A19" s="13">
        <v>41205</v>
      </c>
      <c r="B19" s="12" t="s">
        <v>33</v>
      </c>
      <c r="C19" s="9">
        <v>7344290</v>
      </c>
      <c r="D19" s="10" t="s">
        <v>34</v>
      </c>
      <c r="E19" s="14">
        <v>519165</v>
      </c>
      <c r="F19" s="8">
        <v>206</v>
      </c>
      <c r="G19" s="8">
        <v>41.2</v>
      </c>
      <c r="H19" s="8">
        <v>164.8</v>
      </c>
      <c r="I19" s="18"/>
      <c r="J19" s="11">
        <v>8.24</v>
      </c>
      <c r="K19" s="8">
        <v>0</v>
      </c>
      <c r="L19" s="11">
        <v>156.56</v>
      </c>
    </row>
    <row r="20" spans="1:12" x14ac:dyDescent="0.25">
      <c r="A20" s="13">
        <v>41205</v>
      </c>
      <c r="B20" s="12" t="s">
        <v>35</v>
      </c>
      <c r="C20" s="9">
        <v>16770549</v>
      </c>
      <c r="D20" s="10" t="s">
        <v>36</v>
      </c>
      <c r="E20" s="14">
        <v>519054</v>
      </c>
      <c r="F20" s="8">
        <v>462</v>
      </c>
      <c r="G20" s="8">
        <v>92.4</v>
      </c>
      <c r="H20" s="8">
        <v>369.6</v>
      </c>
      <c r="I20" s="25"/>
      <c r="J20" s="11">
        <v>18.48</v>
      </c>
      <c r="K20" s="8">
        <v>0</v>
      </c>
      <c r="L20" s="11">
        <v>351.12</v>
      </c>
    </row>
    <row r="21" spans="1:12" x14ac:dyDescent="0.25">
      <c r="A21" s="13">
        <v>41205</v>
      </c>
      <c r="B21" s="12" t="s">
        <v>37</v>
      </c>
      <c r="C21" s="9">
        <v>3084978</v>
      </c>
      <c r="D21" s="10" t="s">
        <v>38</v>
      </c>
      <c r="E21" s="14">
        <v>519257</v>
      </c>
      <c r="F21" s="8">
        <v>241.88</v>
      </c>
      <c r="G21" s="8">
        <v>40.9</v>
      </c>
      <c r="H21" s="8">
        <v>200.98</v>
      </c>
      <c r="I21" s="32">
        <v>272.98</v>
      </c>
      <c r="J21" s="11">
        <v>10.048999999999999</v>
      </c>
      <c r="K21" s="8">
        <v>0</v>
      </c>
      <c r="L21" s="11">
        <v>190.93099999999998</v>
      </c>
    </row>
    <row r="22" spans="1:12" x14ac:dyDescent="0.25">
      <c r="A22" s="13">
        <v>41205</v>
      </c>
      <c r="B22" s="12" t="s">
        <v>37</v>
      </c>
      <c r="C22" s="9">
        <v>3084978</v>
      </c>
      <c r="D22" s="10" t="s">
        <v>38</v>
      </c>
      <c r="E22" s="14">
        <v>519258</v>
      </c>
      <c r="F22" s="8">
        <v>90</v>
      </c>
      <c r="G22" s="8">
        <v>18</v>
      </c>
      <c r="H22" s="8">
        <v>72</v>
      </c>
      <c r="I22" s="32"/>
      <c r="J22" s="11">
        <v>3.6</v>
      </c>
      <c r="K22" s="8">
        <v>0</v>
      </c>
      <c r="L22" s="11">
        <v>68.400000000000006</v>
      </c>
    </row>
    <row r="23" spans="1:12" x14ac:dyDescent="0.25">
      <c r="A23" s="13">
        <v>41205</v>
      </c>
      <c r="B23" s="12" t="s">
        <v>39</v>
      </c>
      <c r="C23" s="9">
        <v>9540845</v>
      </c>
      <c r="D23" s="10" t="s">
        <v>40</v>
      </c>
      <c r="E23" s="14">
        <v>519082</v>
      </c>
      <c r="F23" s="8">
        <v>87.78</v>
      </c>
      <c r="G23" s="8">
        <v>13.6</v>
      </c>
      <c r="H23" s="8">
        <v>74.180000000000007</v>
      </c>
      <c r="I23" s="27"/>
      <c r="J23" s="11">
        <v>3.7090000000000005</v>
      </c>
      <c r="K23" s="8">
        <v>0</v>
      </c>
      <c r="L23" s="11">
        <v>70.471000000000004</v>
      </c>
    </row>
    <row r="24" spans="1:12" x14ac:dyDescent="0.25">
      <c r="A24" s="13">
        <v>41205</v>
      </c>
      <c r="B24" s="12" t="s">
        <v>41</v>
      </c>
      <c r="C24" s="9">
        <v>5239261</v>
      </c>
      <c r="D24" s="10" t="s">
        <v>42</v>
      </c>
      <c r="E24" s="14">
        <v>519276</v>
      </c>
      <c r="F24" s="8">
        <v>436</v>
      </c>
      <c r="G24" s="8">
        <v>87.2</v>
      </c>
      <c r="H24" s="8">
        <v>348.8</v>
      </c>
      <c r="I24" s="19"/>
      <c r="J24" s="11">
        <v>17.440000000000001</v>
      </c>
      <c r="K24" s="8">
        <v>0</v>
      </c>
      <c r="L24" s="11">
        <v>331.36</v>
      </c>
    </row>
    <row r="25" spans="1:12" x14ac:dyDescent="0.25">
      <c r="A25" s="13">
        <v>41205</v>
      </c>
      <c r="B25" s="12" t="s">
        <v>43</v>
      </c>
      <c r="C25" s="9">
        <v>7310425</v>
      </c>
      <c r="D25" s="10" t="s">
        <v>44</v>
      </c>
      <c r="E25" s="14">
        <v>519156</v>
      </c>
      <c r="F25" s="8">
        <v>712</v>
      </c>
      <c r="G25" s="8">
        <v>142.4</v>
      </c>
      <c r="H25" s="8">
        <v>569.6</v>
      </c>
      <c r="I25" s="19"/>
      <c r="J25" s="11">
        <v>28.480000000000004</v>
      </c>
      <c r="K25" s="8">
        <v>0</v>
      </c>
      <c r="L25" s="11">
        <v>541.12</v>
      </c>
    </row>
    <row r="26" spans="1:12" x14ac:dyDescent="0.25">
      <c r="A26" s="13">
        <v>41205</v>
      </c>
      <c r="B26" s="12" t="s">
        <v>45</v>
      </c>
      <c r="C26" s="9">
        <v>7350162</v>
      </c>
      <c r="D26" s="10" t="s">
        <v>46</v>
      </c>
      <c r="E26" s="14">
        <v>519281</v>
      </c>
      <c r="F26" s="8">
        <v>123.08</v>
      </c>
      <c r="G26" s="8">
        <v>0</v>
      </c>
      <c r="H26" s="8">
        <v>136.58000000000001</v>
      </c>
      <c r="I26" s="19"/>
      <c r="J26" s="11">
        <v>0</v>
      </c>
      <c r="K26" s="8">
        <v>13.5</v>
      </c>
      <c r="L26" s="11">
        <v>136.58000000000001</v>
      </c>
    </row>
    <row r="27" spans="1:12" x14ac:dyDescent="0.25">
      <c r="A27" s="13">
        <v>41205</v>
      </c>
      <c r="B27" s="12" t="s">
        <v>47</v>
      </c>
      <c r="C27" s="9">
        <v>12018852</v>
      </c>
      <c r="D27" s="10" t="s">
        <v>48</v>
      </c>
      <c r="E27" s="14">
        <v>519076</v>
      </c>
      <c r="F27" s="8">
        <v>213</v>
      </c>
      <c r="G27" s="8">
        <v>42.6</v>
      </c>
      <c r="H27" s="8">
        <v>170.4</v>
      </c>
      <c r="I27" s="32">
        <v>282.39999999999998</v>
      </c>
      <c r="J27" s="11">
        <v>8.5200000000000014</v>
      </c>
      <c r="K27" s="8">
        <v>0</v>
      </c>
      <c r="L27" s="11">
        <v>161.88</v>
      </c>
    </row>
    <row r="28" spans="1:12" x14ac:dyDescent="0.25">
      <c r="A28" s="13">
        <v>41205</v>
      </c>
      <c r="B28" s="12" t="s">
        <v>47</v>
      </c>
      <c r="C28" s="9">
        <v>12018852</v>
      </c>
      <c r="D28" s="10" t="s">
        <v>48</v>
      </c>
      <c r="E28" s="14">
        <v>519077</v>
      </c>
      <c r="F28" s="8">
        <v>140</v>
      </c>
      <c r="G28" s="8">
        <v>28</v>
      </c>
      <c r="H28" s="8">
        <v>112</v>
      </c>
      <c r="I28" s="32"/>
      <c r="J28" s="11">
        <v>5.6000000000000005</v>
      </c>
      <c r="K28" s="8">
        <v>0</v>
      </c>
      <c r="L28" s="11">
        <v>106.4</v>
      </c>
    </row>
    <row r="29" spans="1:12" x14ac:dyDescent="0.25">
      <c r="A29" s="13">
        <v>41205</v>
      </c>
      <c r="B29" s="12" t="s">
        <v>49</v>
      </c>
      <c r="C29" s="9">
        <v>9211039</v>
      </c>
      <c r="D29" s="10" t="s">
        <v>50</v>
      </c>
      <c r="E29" s="14">
        <v>519073</v>
      </c>
      <c r="F29" s="8">
        <v>700</v>
      </c>
      <c r="G29" s="8">
        <v>140</v>
      </c>
      <c r="H29" s="8">
        <v>560</v>
      </c>
      <c r="I29" s="27"/>
      <c r="J29" s="11">
        <v>28</v>
      </c>
      <c r="K29" s="8">
        <v>0</v>
      </c>
      <c r="L29" s="11">
        <v>532</v>
      </c>
    </row>
    <row r="30" spans="1:12" x14ac:dyDescent="0.25">
      <c r="A30" s="13">
        <v>41205</v>
      </c>
      <c r="B30" s="12" t="s">
        <v>51</v>
      </c>
      <c r="C30" s="9">
        <v>3039370</v>
      </c>
      <c r="D30" s="10" t="s">
        <v>52</v>
      </c>
      <c r="E30" s="14">
        <v>519151</v>
      </c>
      <c r="F30" s="8">
        <v>712</v>
      </c>
      <c r="G30" s="8">
        <v>142.4</v>
      </c>
      <c r="H30" s="8">
        <v>569.6</v>
      </c>
      <c r="I30" s="19"/>
      <c r="J30" s="11">
        <v>28.480000000000004</v>
      </c>
      <c r="K30" s="8">
        <v>0</v>
      </c>
      <c r="L30" s="11">
        <v>541.12</v>
      </c>
    </row>
    <row r="31" spans="1:12" x14ac:dyDescent="0.25">
      <c r="A31" s="13">
        <v>41205</v>
      </c>
      <c r="B31" s="12" t="s">
        <v>53</v>
      </c>
      <c r="C31" s="9">
        <v>11586448</v>
      </c>
      <c r="D31" s="10" t="s">
        <v>54</v>
      </c>
      <c r="E31" s="14">
        <v>519105</v>
      </c>
      <c r="F31" s="8">
        <v>423.68</v>
      </c>
      <c r="G31" s="8">
        <v>84.74</v>
      </c>
      <c r="H31" s="8">
        <v>338.94</v>
      </c>
      <c r="I31" s="32">
        <v>342.96999999999997</v>
      </c>
      <c r="J31" s="11">
        <v>16.946999999999999</v>
      </c>
      <c r="K31" s="8">
        <v>0</v>
      </c>
      <c r="L31" s="11">
        <v>321.99299999999999</v>
      </c>
    </row>
    <row r="32" spans="1:12" x14ac:dyDescent="0.25">
      <c r="A32" s="13">
        <v>41206</v>
      </c>
      <c r="B32" s="12" t="s">
        <v>53</v>
      </c>
      <c r="C32" s="9">
        <v>11586448</v>
      </c>
      <c r="D32" s="10" t="s">
        <v>54</v>
      </c>
      <c r="E32" s="14">
        <v>519106</v>
      </c>
      <c r="F32" s="8">
        <v>3.6</v>
      </c>
      <c r="G32" s="8">
        <v>0</v>
      </c>
      <c r="H32" s="8">
        <v>4.03</v>
      </c>
      <c r="I32" s="32"/>
      <c r="J32" s="11">
        <v>0</v>
      </c>
      <c r="K32" s="8">
        <v>0.43</v>
      </c>
      <c r="L32" s="11">
        <v>4.03</v>
      </c>
    </row>
    <row r="33" spans="1:12" x14ac:dyDescent="0.25">
      <c r="A33" s="13">
        <v>41206</v>
      </c>
      <c r="B33" s="12" t="s">
        <v>55</v>
      </c>
      <c r="C33" s="9">
        <v>4732618</v>
      </c>
      <c r="D33" s="10" t="s">
        <v>56</v>
      </c>
      <c r="E33" s="14">
        <v>519113</v>
      </c>
      <c r="F33" s="8">
        <v>492</v>
      </c>
      <c r="G33" s="8">
        <v>98.4</v>
      </c>
      <c r="H33" s="8">
        <v>393.6</v>
      </c>
      <c r="I33" s="32">
        <v>451.20000000000005</v>
      </c>
      <c r="J33" s="11">
        <v>19.680000000000003</v>
      </c>
      <c r="K33" s="8">
        <v>0</v>
      </c>
      <c r="L33" s="11">
        <v>373.92</v>
      </c>
    </row>
    <row r="34" spans="1:12" x14ac:dyDescent="0.25">
      <c r="A34" s="13">
        <v>41206</v>
      </c>
      <c r="B34" s="12" t="s">
        <v>55</v>
      </c>
      <c r="C34" s="9">
        <v>4732618</v>
      </c>
      <c r="D34" s="10" t="s">
        <v>56</v>
      </c>
      <c r="E34" s="14">
        <v>519114</v>
      </c>
      <c r="F34" s="8">
        <v>72</v>
      </c>
      <c r="G34" s="8">
        <v>14.4</v>
      </c>
      <c r="H34" s="8">
        <v>57.6</v>
      </c>
      <c r="I34" s="32"/>
      <c r="J34" s="11">
        <v>2.8800000000000003</v>
      </c>
      <c r="K34" s="8">
        <v>0</v>
      </c>
      <c r="L34" s="11">
        <v>54.72</v>
      </c>
    </row>
    <row r="35" spans="1:12" x14ac:dyDescent="0.25">
      <c r="A35" s="13">
        <v>41206</v>
      </c>
      <c r="B35" s="12" t="s">
        <v>57</v>
      </c>
      <c r="C35" s="9">
        <v>3857667</v>
      </c>
      <c r="D35" s="10" t="s">
        <v>58</v>
      </c>
      <c r="E35" s="14">
        <v>519023</v>
      </c>
      <c r="F35" s="8">
        <v>220</v>
      </c>
      <c r="G35" s="8">
        <v>24.2</v>
      </c>
      <c r="H35" s="8">
        <v>195.8</v>
      </c>
      <c r="I35" s="32">
        <v>765.40000000000009</v>
      </c>
      <c r="J35" s="11">
        <v>9.7900000000000009</v>
      </c>
      <c r="K35" s="8">
        <v>0</v>
      </c>
      <c r="L35" s="11">
        <v>186.01000000000002</v>
      </c>
    </row>
    <row r="36" spans="1:12" x14ac:dyDescent="0.25">
      <c r="A36" s="13">
        <v>41206</v>
      </c>
      <c r="B36" s="12" t="s">
        <v>57</v>
      </c>
      <c r="C36" s="9">
        <v>3857667</v>
      </c>
      <c r="D36" s="10" t="s">
        <v>58</v>
      </c>
      <c r="E36" s="14">
        <v>519256</v>
      </c>
      <c r="F36" s="8">
        <v>712</v>
      </c>
      <c r="G36" s="8">
        <v>142.4</v>
      </c>
      <c r="H36" s="8">
        <v>569.6</v>
      </c>
      <c r="I36" s="32"/>
      <c r="J36" s="11">
        <v>28.480000000000004</v>
      </c>
      <c r="K36" s="8">
        <v>0</v>
      </c>
      <c r="L36" s="11">
        <v>541.12</v>
      </c>
    </row>
    <row r="37" spans="1:12" x14ac:dyDescent="0.25">
      <c r="A37" s="13">
        <v>41206</v>
      </c>
      <c r="B37" s="12" t="s">
        <v>59</v>
      </c>
      <c r="C37" s="9">
        <v>9604593</v>
      </c>
      <c r="D37" s="10" t="s">
        <v>60</v>
      </c>
      <c r="E37" s="14">
        <v>519262</v>
      </c>
      <c r="F37" s="8">
        <v>200.18</v>
      </c>
      <c r="G37" s="8">
        <v>30.2</v>
      </c>
      <c r="H37" s="8">
        <v>169.98</v>
      </c>
      <c r="I37" s="16"/>
      <c r="J37" s="11">
        <v>8.4990000000000006</v>
      </c>
      <c r="K37" s="8">
        <v>0</v>
      </c>
      <c r="L37" s="11">
        <v>161.48099999999999</v>
      </c>
    </row>
    <row r="38" spans="1:12" x14ac:dyDescent="0.25">
      <c r="A38" s="13">
        <v>41206</v>
      </c>
      <c r="B38" s="12" t="s">
        <v>61</v>
      </c>
      <c r="C38" s="9">
        <v>7436996</v>
      </c>
      <c r="D38" s="10" t="s">
        <v>62</v>
      </c>
      <c r="E38" s="14">
        <v>519100</v>
      </c>
      <c r="F38" s="8">
        <v>481</v>
      </c>
      <c r="G38" s="8">
        <v>96.2</v>
      </c>
      <c r="H38" s="8">
        <v>384.8</v>
      </c>
      <c r="I38" s="19"/>
      <c r="J38" s="11">
        <v>19.240000000000002</v>
      </c>
      <c r="K38" s="8">
        <v>0</v>
      </c>
      <c r="L38" s="11">
        <v>365.56</v>
      </c>
    </row>
    <row r="39" spans="1:12" x14ac:dyDescent="0.25">
      <c r="A39" s="13">
        <v>41206</v>
      </c>
      <c r="B39" s="12" t="s">
        <v>63</v>
      </c>
      <c r="C39" s="9">
        <v>12851330</v>
      </c>
      <c r="D39" s="10" t="s">
        <v>64</v>
      </c>
      <c r="E39" s="14">
        <v>518997</v>
      </c>
      <c r="F39" s="8">
        <v>198.35</v>
      </c>
      <c r="G39" s="8">
        <v>36</v>
      </c>
      <c r="H39" s="8">
        <v>162.35</v>
      </c>
      <c r="I39" s="19"/>
      <c r="J39" s="11">
        <v>8.1174999999999997</v>
      </c>
      <c r="K39" s="8">
        <v>0</v>
      </c>
      <c r="L39" s="11">
        <v>154.23249999999999</v>
      </c>
    </row>
    <row r="40" spans="1:12" x14ac:dyDescent="0.25">
      <c r="A40" s="13">
        <v>41206</v>
      </c>
      <c r="B40" s="12" t="s">
        <v>65</v>
      </c>
      <c r="C40" s="9">
        <v>12704927</v>
      </c>
      <c r="D40" s="10" t="s">
        <v>66</v>
      </c>
      <c r="E40" s="14">
        <v>519084</v>
      </c>
      <c r="F40" s="8">
        <v>82</v>
      </c>
      <c r="G40" s="8">
        <v>16.399999999999999</v>
      </c>
      <c r="H40" s="8">
        <v>65.599999999999994</v>
      </c>
      <c r="I40" s="16"/>
      <c r="J40" s="11">
        <v>3.28</v>
      </c>
      <c r="K40" s="8">
        <v>0</v>
      </c>
      <c r="L40" s="11">
        <v>62.319999999999993</v>
      </c>
    </row>
    <row r="41" spans="1:12" x14ac:dyDescent="0.25">
      <c r="A41" s="13">
        <v>41206</v>
      </c>
      <c r="B41" s="12" t="s">
        <v>67</v>
      </c>
      <c r="C41" s="9">
        <v>9639201</v>
      </c>
      <c r="D41" s="10" t="s">
        <v>68</v>
      </c>
      <c r="E41" s="14">
        <v>519390</v>
      </c>
      <c r="F41" s="8">
        <v>263.5</v>
      </c>
      <c r="G41" s="8">
        <v>51.64</v>
      </c>
      <c r="H41" s="8">
        <v>211.86</v>
      </c>
      <c r="I41" s="19"/>
      <c r="J41" s="11">
        <v>10.593000000000002</v>
      </c>
      <c r="K41" s="8">
        <v>0</v>
      </c>
      <c r="L41" s="11">
        <v>201.26700000000002</v>
      </c>
    </row>
    <row r="42" spans="1:12" x14ac:dyDescent="0.25">
      <c r="A42" s="13">
        <v>41206</v>
      </c>
      <c r="B42" s="12" t="s">
        <v>69</v>
      </c>
      <c r="C42" s="9">
        <v>10849907</v>
      </c>
      <c r="D42" s="10" t="s">
        <v>70</v>
      </c>
      <c r="E42" s="14">
        <v>519393</v>
      </c>
      <c r="F42" s="8">
        <v>99.29</v>
      </c>
      <c r="G42" s="8">
        <v>10.8</v>
      </c>
      <c r="H42" s="8">
        <v>88.49</v>
      </c>
      <c r="I42" s="16"/>
      <c r="J42" s="11">
        <v>4.4245000000000001</v>
      </c>
      <c r="K42" s="8">
        <v>0</v>
      </c>
      <c r="L42" s="11">
        <v>84.0655</v>
      </c>
    </row>
    <row r="43" spans="1:12" x14ac:dyDescent="0.25">
      <c r="A43" s="13">
        <v>41206</v>
      </c>
      <c r="B43" s="12" t="s">
        <v>71</v>
      </c>
      <c r="C43" s="9">
        <v>7309375</v>
      </c>
      <c r="D43" s="10" t="s">
        <v>72</v>
      </c>
      <c r="E43" s="14">
        <v>519277</v>
      </c>
      <c r="F43" s="8">
        <v>429.48</v>
      </c>
      <c r="G43" s="8">
        <v>85.9</v>
      </c>
      <c r="H43" s="8">
        <v>343.58</v>
      </c>
      <c r="I43" s="16"/>
      <c r="J43" s="11">
        <v>17.178999999999998</v>
      </c>
      <c r="K43" s="8">
        <v>0</v>
      </c>
      <c r="L43" s="11">
        <v>326.40100000000001</v>
      </c>
    </row>
    <row r="44" spans="1:12" x14ac:dyDescent="0.25">
      <c r="A44" s="13">
        <v>41206</v>
      </c>
      <c r="B44" s="12" t="s">
        <v>73</v>
      </c>
      <c r="C44" s="9">
        <v>11239070</v>
      </c>
      <c r="D44" s="10" t="s">
        <v>74</v>
      </c>
      <c r="E44" s="14">
        <v>519217</v>
      </c>
      <c r="F44" s="8">
        <v>170</v>
      </c>
      <c r="G44" s="8">
        <v>34</v>
      </c>
      <c r="H44" s="8">
        <v>136</v>
      </c>
      <c r="I44" s="32">
        <v>312.91999999999996</v>
      </c>
      <c r="J44" s="11">
        <v>6.8000000000000007</v>
      </c>
      <c r="K44" s="8">
        <v>0</v>
      </c>
      <c r="L44" s="11">
        <v>129.19999999999999</v>
      </c>
    </row>
    <row r="45" spans="1:12" x14ac:dyDescent="0.25">
      <c r="A45" s="13">
        <v>41207</v>
      </c>
      <c r="B45" s="12" t="s">
        <v>73</v>
      </c>
      <c r="C45" s="9">
        <v>1239070</v>
      </c>
      <c r="D45" s="10" t="s">
        <v>74</v>
      </c>
      <c r="E45" s="14">
        <v>519224</v>
      </c>
      <c r="F45" s="8">
        <v>221.15</v>
      </c>
      <c r="G45" s="8">
        <v>44.23</v>
      </c>
      <c r="H45" s="8">
        <v>176.92</v>
      </c>
      <c r="I45" s="32"/>
      <c r="J45" s="11">
        <v>8.8460000000000001</v>
      </c>
      <c r="K45" s="8">
        <v>0</v>
      </c>
      <c r="L45" s="11">
        <v>168.07399999999998</v>
      </c>
    </row>
    <row r="46" spans="1:12" x14ac:dyDescent="0.25">
      <c r="A46" s="13">
        <v>41207</v>
      </c>
      <c r="B46" s="12" t="s">
        <v>75</v>
      </c>
      <c r="C46" s="9">
        <v>7415285</v>
      </c>
      <c r="D46" s="10" t="s">
        <v>76</v>
      </c>
      <c r="E46" s="14">
        <v>519300</v>
      </c>
      <c r="F46" s="8">
        <v>106.5</v>
      </c>
      <c r="G46" s="8">
        <v>17.100000000000001</v>
      </c>
      <c r="H46" s="8">
        <v>89.4</v>
      </c>
      <c r="I46" s="19"/>
      <c r="J46" s="11">
        <v>4.4700000000000006</v>
      </c>
      <c r="K46" s="8">
        <v>0</v>
      </c>
      <c r="L46" s="11">
        <v>84.93</v>
      </c>
    </row>
    <row r="47" spans="1:12" x14ac:dyDescent="0.25">
      <c r="A47" s="13">
        <v>41207</v>
      </c>
      <c r="B47" s="12" t="s">
        <v>77</v>
      </c>
      <c r="C47" s="9">
        <v>4739796</v>
      </c>
      <c r="D47" s="10" t="s">
        <v>78</v>
      </c>
      <c r="E47" s="14">
        <v>519145</v>
      </c>
      <c r="F47" s="8">
        <v>54.05</v>
      </c>
      <c r="G47" s="8">
        <v>10</v>
      </c>
      <c r="H47" s="8">
        <v>44.05</v>
      </c>
      <c r="I47" s="19"/>
      <c r="J47" s="11">
        <v>2.2025000000000001</v>
      </c>
      <c r="K47" s="8">
        <v>0</v>
      </c>
      <c r="L47" s="11">
        <v>41.847499999999997</v>
      </c>
    </row>
    <row r="48" spans="1:12" x14ac:dyDescent="0.25">
      <c r="A48" s="13">
        <v>41207</v>
      </c>
      <c r="B48" s="12" t="s">
        <v>79</v>
      </c>
      <c r="C48" s="9">
        <v>7447992</v>
      </c>
      <c r="D48" s="10" t="s">
        <v>80</v>
      </c>
      <c r="E48" s="14">
        <v>519074</v>
      </c>
      <c r="F48" s="8">
        <v>291.24</v>
      </c>
      <c r="G48" s="8">
        <v>48</v>
      </c>
      <c r="H48" s="8">
        <v>248.06</v>
      </c>
      <c r="I48" s="19"/>
      <c r="J48" s="11">
        <v>12.403</v>
      </c>
      <c r="K48" s="8">
        <v>4.82</v>
      </c>
      <c r="L48" s="11">
        <v>235.65700000000001</v>
      </c>
    </row>
    <row r="49" spans="1:12" x14ac:dyDescent="0.25">
      <c r="A49" s="13">
        <v>41207</v>
      </c>
      <c r="B49" s="12" t="s">
        <v>81</v>
      </c>
      <c r="C49" s="9">
        <v>4731494</v>
      </c>
      <c r="D49" s="10" t="s">
        <v>82</v>
      </c>
      <c r="E49" s="14">
        <v>519323</v>
      </c>
      <c r="F49" s="8">
        <v>212.03</v>
      </c>
      <c r="G49" s="8">
        <v>41.18</v>
      </c>
      <c r="H49" s="8">
        <v>170.85</v>
      </c>
      <c r="I49" s="19"/>
      <c r="J49" s="11">
        <v>8.5425000000000004</v>
      </c>
      <c r="K49" s="8">
        <v>0</v>
      </c>
      <c r="L49" s="11">
        <v>162.3075</v>
      </c>
    </row>
    <row r="50" spans="1:12" x14ac:dyDescent="0.25">
      <c r="A50" s="13">
        <v>41207</v>
      </c>
      <c r="B50" s="12" t="s">
        <v>83</v>
      </c>
      <c r="C50" s="9">
        <v>13643982</v>
      </c>
      <c r="D50" s="10" t="s">
        <v>84</v>
      </c>
      <c r="E50" s="14">
        <v>519135</v>
      </c>
      <c r="F50" s="8">
        <v>1489.77</v>
      </c>
      <c r="G50" s="8">
        <v>267.47000000000003</v>
      </c>
      <c r="H50" s="8">
        <v>1240.5899999999999</v>
      </c>
      <c r="I50" s="19"/>
      <c r="J50" s="11">
        <v>62.029499999999999</v>
      </c>
      <c r="K50" s="8">
        <v>18.29</v>
      </c>
      <c r="L50" s="11">
        <v>1178.5604999999998</v>
      </c>
    </row>
    <row r="51" spans="1:12" x14ac:dyDescent="0.25">
      <c r="A51" s="13">
        <v>41207</v>
      </c>
      <c r="B51" s="12" t="s">
        <v>85</v>
      </c>
      <c r="C51" s="9">
        <v>7401853</v>
      </c>
      <c r="D51" s="10" t="s">
        <v>86</v>
      </c>
      <c r="E51" s="14">
        <v>519038</v>
      </c>
      <c r="F51" s="8">
        <v>155.69</v>
      </c>
      <c r="G51" s="8">
        <v>29</v>
      </c>
      <c r="H51" s="8">
        <v>127.34</v>
      </c>
      <c r="I51" s="16"/>
      <c r="J51" s="11">
        <v>6.3670000000000009</v>
      </c>
      <c r="K51" s="8">
        <v>0</v>
      </c>
      <c r="L51" s="11">
        <v>120.973</v>
      </c>
    </row>
    <row r="52" spans="1:12" x14ac:dyDescent="0.25">
      <c r="A52" s="13">
        <v>41207</v>
      </c>
      <c r="B52" s="12" t="s">
        <v>87</v>
      </c>
      <c r="C52" s="9">
        <v>11429792</v>
      </c>
      <c r="D52" s="10" t="s">
        <v>88</v>
      </c>
      <c r="E52" s="14">
        <v>519043</v>
      </c>
      <c r="F52" s="8">
        <v>636</v>
      </c>
      <c r="G52" s="8">
        <v>127.2</v>
      </c>
      <c r="H52" s="8">
        <v>508.8</v>
      </c>
      <c r="I52" s="19"/>
      <c r="J52" s="11">
        <v>25.44</v>
      </c>
      <c r="K52" s="8">
        <v>0</v>
      </c>
      <c r="L52" s="11">
        <v>483.36</v>
      </c>
    </row>
    <row r="53" spans="1:12" x14ac:dyDescent="0.25">
      <c r="A53" s="13">
        <v>41207</v>
      </c>
      <c r="B53" s="12" t="s">
        <v>89</v>
      </c>
      <c r="C53" s="9">
        <v>11883300</v>
      </c>
      <c r="D53" s="10" t="s">
        <v>90</v>
      </c>
      <c r="E53" s="14">
        <v>519140</v>
      </c>
      <c r="F53" s="8">
        <v>578.61</v>
      </c>
      <c r="G53" s="8">
        <v>100.2</v>
      </c>
      <c r="H53" s="8">
        <v>487.72</v>
      </c>
      <c r="I53" s="19"/>
      <c r="J53" s="11">
        <v>24.386000000000003</v>
      </c>
      <c r="K53" s="8">
        <v>9.31</v>
      </c>
      <c r="L53" s="11">
        <v>463.334</v>
      </c>
    </row>
    <row r="54" spans="1:12" x14ac:dyDescent="0.25">
      <c r="A54" s="13">
        <v>41207</v>
      </c>
      <c r="B54" s="12" t="s">
        <v>91</v>
      </c>
      <c r="C54" s="9">
        <v>2608304</v>
      </c>
      <c r="D54" s="10" t="s">
        <v>92</v>
      </c>
      <c r="E54" s="14">
        <v>519095</v>
      </c>
      <c r="F54" s="8">
        <v>473.34</v>
      </c>
      <c r="G54" s="8">
        <v>66</v>
      </c>
      <c r="H54" s="8">
        <v>407.34</v>
      </c>
      <c r="I54" s="32">
        <v>943.69</v>
      </c>
      <c r="J54" s="11">
        <v>20.367000000000001</v>
      </c>
      <c r="K54" s="8">
        <v>0</v>
      </c>
      <c r="L54" s="11">
        <v>386.97299999999996</v>
      </c>
    </row>
    <row r="55" spans="1:12" x14ac:dyDescent="0.25">
      <c r="A55" s="13">
        <v>41207</v>
      </c>
      <c r="B55" s="12" t="s">
        <v>91</v>
      </c>
      <c r="C55" s="9">
        <v>2608304</v>
      </c>
      <c r="D55" s="10" t="s">
        <v>92</v>
      </c>
      <c r="E55" s="14">
        <v>519096</v>
      </c>
      <c r="F55" s="8">
        <v>668.75</v>
      </c>
      <c r="G55" s="8">
        <v>132.4</v>
      </c>
      <c r="H55" s="8">
        <v>536.35</v>
      </c>
      <c r="I55" s="32"/>
      <c r="J55" s="11">
        <v>26.817500000000003</v>
      </c>
      <c r="K55" s="8">
        <v>0</v>
      </c>
      <c r="L55" s="11">
        <v>509.53250000000003</v>
      </c>
    </row>
    <row r="56" spans="1:12" x14ac:dyDescent="0.25">
      <c r="A56" s="13">
        <v>41208</v>
      </c>
      <c r="B56" s="12" t="s">
        <v>93</v>
      </c>
      <c r="C56" s="9">
        <v>5248954</v>
      </c>
      <c r="D56" s="10" t="s">
        <v>94</v>
      </c>
      <c r="E56" s="14">
        <v>519264</v>
      </c>
      <c r="F56" s="8">
        <v>371.4</v>
      </c>
      <c r="G56" s="8">
        <v>73.2</v>
      </c>
      <c r="H56" s="8">
        <v>298.85000000000002</v>
      </c>
      <c r="I56" s="19"/>
      <c r="J56" s="11">
        <v>14.942500000000003</v>
      </c>
      <c r="K56" s="8">
        <v>0.65</v>
      </c>
      <c r="L56" s="11">
        <v>283.90750000000003</v>
      </c>
    </row>
    <row r="57" spans="1:12" x14ac:dyDescent="0.25">
      <c r="A57" s="13">
        <v>41208</v>
      </c>
      <c r="B57" s="12" t="s">
        <v>95</v>
      </c>
      <c r="C57" s="9">
        <v>9617493</v>
      </c>
      <c r="D57" s="10" t="s">
        <v>96</v>
      </c>
      <c r="E57" s="14">
        <v>519346</v>
      </c>
      <c r="F57" s="8">
        <v>54.87</v>
      </c>
      <c r="G57" s="8">
        <v>6.6</v>
      </c>
      <c r="H57" s="8">
        <v>48.27</v>
      </c>
      <c r="I57" s="16"/>
      <c r="J57" s="11">
        <v>2.4135000000000004</v>
      </c>
      <c r="K57" s="8">
        <v>0</v>
      </c>
      <c r="L57" s="11">
        <v>45.856500000000004</v>
      </c>
    </row>
    <row r="58" spans="1:12" x14ac:dyDescent="0.25">
      <c r="A58" s="13">
        <v>41208</v>
      </c>
      <c r="B58" s="12" t="s">
        <v>97</v>
      </c>
      <c r="C58" s="9">
        <v>5257774</v>
      </c>
      <c r="D58" s="10" t="s">
        <v>98</v>
      </c>
      <c r="E58" s="14">
        <v>519200</v>
      </c>
      <c r="F58" s="8">
        <v>712</v>
      </c>
      <c r="G58" s="8">
        <v>142.4</v>
      </c>
      <c r="H58" s="8">
        <v>569.6</v>
      </c>
      <c r="I58" s="19"/>
      <c r="J58" s="11">
        <v>28.480000000000004</v>
      </c>
      <c r="K58" s="8">
        <v>0</v>
      </c>
      <c r="L58" s="11">
        <v>541.12</v>
      </c>
    </row>
    <row r="59" spans="1:12" x14ac:dyDescent="0.25">
      <c r="A59" s="13">
        <v>41208</v>
      </c>
      <c r="B59" s="12" t="s">
        <v>99</v>
      </c>
      <c r="C59" s="9">
        <v>7419340</v>
      </c>
      <c r="D59" s="10" t="s">
        <v>100</v>
      </c>
      <c r="E59" s="14">
        <v>519265</v>
      </c>
      <c r="F59" s="8">
        <v>677.4</v>
      </c>
      <c r="G59" s="8">
        <v>134.4</v>
      </c>
      <c r="H59" s="8">
        <v>543.65</v>
      </c>
      <c r="I59" s="19"/>
      <c r="J59" s="11">
        <v>27.182500000000001</v>
      </c>
      <c r="K59" s="8">
        <v>0.65</v>
      </c>
      <c r="L59" s="11">
        <v>516.46749999999997</v>
      </c>
    </row>
    <row r="60" spans="1:12" x14ac:dyDescent="0.25">
      <c r="A60" s="13">
        <v>41208</v>
      </c>
      <c r="B60" s="12" t="s">
        <v>101</v>
      </c>
      <c r="C60" s="9">
        <v>4728331</v>
      </c>
      <c r="D60" s="10" t="s">
        <v>102</v>
      </c>
      <c r="E60" s="14">
        <v>519093</v>
      </c>
      <c r="F60" s="8">
        <v>360</v>
      </c>
      <c r="G60" s="8">
        <v>72</v>
      </c>
      <c r="H60" s="8">
        <v>288</v>
      </c>
      <c r="I60" s="19"/>
      <c r="J60" s="11">
        <v>14.4</v>
      </c>
      <c r="K60" s="8">
        <v>0</v>
      </c>
      <c r="L60" s="11">
        <v>273.60000000000002</v>
      </c>
    </row>
    <row r="61" spans="1:12" x14ac:dyDescent="0.25">
      <c r="A61" s="13">
        <v>41208</v>
      </c>
      <c r="B61" s="12" t="s">
        <v>103</v>
      </c>
      <c r="C61" s="9">
        <v>11262378</v>
      </c>
      <c r="D61" s="10" t="s">
        <v>104</v>
      </c>
      <c r="E61" s="14">
        <v>519004</v>
      </c>
      <c r="F61" s="8">
        <v>410</v>
      </c>
      <c r="G61" s="8">
        <v>82</v>
      </c>
      <c r="H61" s="8">
        <v>328</v>
      </c>
      <c r="I61" s="16"/>
      <c r="J61" s="11">
        <v>0</v>
      </c>
      <c r="K61" s="8">
        <v>0</v>
      </c>
      <c r="L61" s="11">
        <v>328</v>
      </c>
    </row>
    <row r="62" spans="1:12" x14ac:dyDescent="0.25">
      <c r="A62" s="13">
        <v>41208</v>
      </c>
      <c r="B62" s="12" t="s">
        <v>105</v>
      </c>
      <c r="C62" s="9">
        <v>12279667</v>
      </c>
      <c r="D62" s="10" t="s">
        <v>106</v>
      </c>
      <c r="E62" s="14">
        <v>519191</v>
      </c>
      <c r="F62" s="8">
        <v>444.22</v>
      </c>
      <c r="G62" s="8">
        <v>88.84</v>
      </c>
      <c r="H62" s="8">
        <v>386.99</v>
      </c>
      <c r="I62" s="19"/>
      <c r="J62" s="11">
        <v>19.349500000000003</v>
      </c>
      <c r="K62" s="8">
        <v>31.61</v>
      </c>
      <c r="L62" s="11">
        <v>367.64050000000003</v>
      </c>
    </row>
    <row r="63" spans="1:12" x14ac:dyDescent="0.25">
      <c r="A63" s="13">
        <v>41208</v>
      </c>
      <c r="B63" s="12" t="s">
        <v>107</v>
      </c>
      <c r="C63" s="9">
        <v>12027260</v>
      </c>
      <c r="D63" s="10" t="s">
        <v>108</v>
      </c>
      <c r="E63" s="14">
        <v>519178</v>
      </c>
      <c r="F63" s="8">
        <v>528</v>
      </c>
      <c r="G63" s="8">
        <v>89.8</v>
      </c>
      <c r="H63" s="8">
        <v>447.34</v>
      </c>
      <c r="I63" s="19"/>
      <c r="J63" s="11">
        <v>22.367000000000001</v>
      </c>
      <c r="K63" s="8">
        <v>9.14</v>
      </c>
      <c r="L63" s="11">
        <v>424.97299999999996</v>
      </c>
    </row>
    <row r="64" spans="1:12" x14ac:dyDescent="0.25">
      <c r="A64" s="13">
        <v>41208</v>
      </c>
      <c r="B64" s="12" t="s">
        <v>107</v>
      </c>
      <c r="C64" s="9">
        <v>12027260</v>
      </c>
      <c r="D64" s="10" t="s">
        <v>108</v>
      </c>
      <c r="E64" s="14">
        <v>519179</v>
      </c>
      <c r="F64" s="8">
        <v>18.350000000000001</v>
      </c>
      <c r="G64" s="8">
        <v>0</v>
      </c>
      <c r="H64" s="8">
        <v>18.350000000000001</v>
      </c>
      <c r="I64" s="19"/>
      <c r="J64" s="11">
        <v>0</v>
      </c>
      <c r="K64" s="8">
        <v>0</v>
      </c>
      <c r="L64" s="11">
        <v>18.350000000000001</v>
      </c>
    </row>
    <row r="65" spans="1:12" x14ac:dyDescent="0.25">
      <c r="A65" s="13">
        <v>41208</v>
      </c>
      <c r="B65" s="12" t="s">
        <v>109</v>
      </c>
      <c r="C65" s="9">
        <v>9560453</v>
      </c>
      <c r="D65" s="10" t="s">
        <v>110</v>
      </c>
      <c r="E65" s="14">
        <v>519207</v>
      </c>
      <c r="F65" s="8">
        <v>712</v>
      </c>
      <c r="G65" s="8">
        <v>142.4</v>
      </c>
      <c r="H65" s="8">
        <v>569.6</v>
      </c>
      <c r="I65" s="19"/>
      <c r="J65" s="11">
        <v>28.480000000000004</v>
      </c>
      <c r="K65" s="8">
        <v>0</v>
      </c>
      <c r="L65" s="11">
        <v>541.12</v>
      </c>
    </row>
    <row r="66" spans="1:12" x14ac:dyDescent="0.25">
      <c r="A66" s="13">
        <v>41209</v>
      </c>
      <c r="B66" s="12" t="s">
        <v>111</v>
      </c>
      <c r="C66" s="9">
        <v>11598207</v>
      </c>
      <c r="D66" s="10" t="s">
        <v>112</v>
      </c>
      <c r="E66" s="14">
        <v>519342</v>
      </c>
      <c r="F66" s="8">
        <v>258.45</v>
      </c>
      <c r="G66" s="8">
        <v>48</v>
      </c>
      <c r="H66" s="8">
        <v>210.45</v>
      </c>
      <c r="I66" s="19"/>
      <c r="J66" s="11">
        <v>10.522500000000001</v>
      </c>
      <c r="K66" s="8">
        <v>0</v>
      </c>
      <c r="L66" s="11">
        <v>199.92749999999998</v>
      </c>
    </row>
    <row r="67" spans="1:12" x14ac:dyDescent="0.25">
      <c r="A67" s="13">
        <v>41211</v>
      </c>
      <c r="B67" s="12" t="s">
        <v>113</v>
      </c>
      <c r="C67" s="9">
        <v>11783201</v>
      </c>
      <c r="D67" s="10" t="s">
        <v>114</v>
      </c>
      <c r="E67" s="14">
        <v>519046</v>
      </c>
      <c r="F67" s="8">
        <v>371</v>
      </c>
      <c r="G67" s="8">
        <v>69.2</v>
      </c>
      <c r="H67" s="8">
        <v>304.8</v>
      </c>
      <c r="I67" s="32">
        <v>536.79999999999995</v>
      </c>
      <c r="J67" s="11">
        <v>15.240000000000002</v>
      </c>
      <c r="K67" s="8">
        <v>3</v>
      </c>
      <c r="L67" s="11">
        <v>289.56</v>
      </c>
    </row>
    <row r="68" spans="1:12" x14ac:dyDescent="0.25">
      <c r="A68" s="13">
        <v>41211</v>
      </c>
      <c r="B68" s="12" t="s">
        <v>113</v>
      </c>
      <c r="C68" s="9">
        <v>11783201</v>
      </c>
      <c r="D68" s="10" t="s">
        <v>114</v>
      </c>
      <c r="E68" s="14">
        <v>519280</v>
      </c>
      <c r="F68" s="8">
        <v>290</v>
      </c>
      <c r="G68" s="8">
        <v>58</v>
      </c>
      <c r="H68" s="8">
        <v>232</v>
      </c>
      <c r="I68" s="32"/>
      <c r="J68" s="11">
        <v>11.600000000000001</v>
      </c>
      <c r="K68" s="8">
        <v>0</v>
      </c>
      <c r="L68" s="11">
        <v>220.4</v>
      </c>
    </row>
    <row r="69" spans="1:12" x14ac:dyDescent="0.25">
      <c r="A69" s="13">
        <v>41211</v>
      </c>
      <c r="B69" s="12" t="s">
        <v>115</v>
      </c>
      <c r="C69" s="9">
        <v>7387547</v>
      </c>
      <c r="D69" s="10" t="s">
        <v>116</v>
      </c>
      <c r="E69" s="14">
        <v>519384</v>
      </c>
      <c r="F69" s="8">
        <v>332</v>
      </c>
      <c r="G69" s="8">
        <v>66.400000000000006</v>
      </c>
      <c r="H69" s="8">
        <v>265.60000000000002</v>
      </c>
      <c r="I69" s="24"/>
      <c r="J69" s="11">
        <v>13.280000000000001</v>
      </c>
      <c r="K69" s="8">
        <v>0</v>
      </c>
      <c r="L69" s="11">
        <v>252.32000000000002</v>
      </c>
    </row>
    <row r="70" spans="1:12" x14ac:dyDescent="0.25">
      <c r="A70" s="13">
        <v>41211</v>
      </c>
      <c r="B70" s="12" t="s">
        <v>117</v>
      </c>
      <c r="C70" s="9">
        <v>12698965</v>
      </c>
      <c r="D70" s="10" t="s">
        <v>118</v>
      </c>
      <c r="E70" s="14">
        <v>519131</v>
      </c>
      <c r="F70" s="8">
        <v>140</v>
      </c>
      <c r="G70" s="8">
        <v>28</v>
      </c>
      <c r="H70" s="8">
        <v>112</v>
      </c>
      <c r="I70" s="18"/>
      <c r="J70" s="11">
        <v>5.6000000000000005</v>
      </c>
      <c r="K70" s="8">
        <v>0</v>
      </c>
      <c r="L70" s="11">
        <v>106.4</v>
      </c>
    </row>
    <row r="71" spans="1:12" x14ac:dyDescent="0.25">
      <c r="A71" s="13">
        <v>41211</v>
      </c>
      <c r="B71" s="12" t="s">
        <v>119</v>
      </c>
      <c r="C71" s="9">
        <v>12536172</v>
      </c>
      <c r="D71" s="10" t="s">
        <v>120</v>
      </c>
      <c r="E71" s="14">
        <v>519041</v>
      </c>
      <c r="F71" s="8">
        <v>442.04</v>
      </c>
      <c r="G71" s="8">
        <v>84</v>
      </c>
      <c r="H71" s="8">
        <v>358.04</v>
      </c>
      <c r="I71" s="18"/>
      <c r="J71" s="11">
        <v>17.902000000000001</v>
      </c>
      <c r="K71" s="8">
        <v>0</v>
      </c>
      <c r="L71" s="11">
        <v>340.13800000000003</v>
      </c>
    </row>
    <row r="72" spans="1:12" x14ac:dyDescent="0.25">
      <c r="A72" s="13">
        <v>41211</v>
      </c>
      <c r="B72" s="12" t="s">
        <v>121</v>
      </c>
      <c r="C72" s="9">
        <v>3710064</v>
      </c>
      <c r="D72" s="10" t="s">
        <v>122</v>
      </c>
      <c r="E72" s="14">
        <v>519040</v>
      </c>
      <c r="F72" s="8">
        <v>454</v>
      </c>
      <c r="G72" s="8">
        <v>88.4</v>
      </c>
      <c r="H72" s="8">
        <v>365.6</v>
      </c>
      <c r="I72" s="18"/>
      <c r="J72" s="11">
        <v>18.28</v>
      </c>
      <c r="K72" s="8">
        <v>0</v>
      </c>
      <c r="L72" s="11">
        <v>347.32000000000005</v>
      </c>
    </row>
    <row r="73" spans="1:12" x14ac:dyDescent="0.25">
      <c r="A73" s="13">
        <v>41211</v>
      </c>
      <c r="B73" s="12" t="s">
        <v>123</v>
      </c>
      <c r="C73" s="9">
        <v>5605414</v>
      </c>
      <c r="D73" s="10" t="s">
        <v>124</v>
      </c>
      <c r="E73" s="14">
        <v>519174</v>
      </c>
      <c r="F73" s="8">
        <v>712</v>
      </c>
      <c r="G73" s="8">
        <v>142.4</v>
      </c>
      <c r="H73" s="8">
        <v>569.6</v>
      </c>
      <c r="I73" s="18"/>
      <c r="J73" s="11">
        <v>28.480000000000004</v>
      </c>
      <c r="K73" s="8">
        <v>0</v>
      </c>
      <c r="L73" s="11">
        <v>541.12</v>
      </c>
    </row>
    <row r="74" spans="1:12" x14ac:dyDescent="0.25">
      <c r="A74" s="13">
        <v>41211</v>
      </c>
      <c r="B74" s="12" t="s">
        <v>125</v>
      </c>
      <c r="C74" s="9">
        <v>7436077</v>
      </c>
      <c r="D74" s="10" t="s">
        <v>126</v>
      </c>
      <c r="E74" s="14">
        <v>519335</v>
      </c>
      <c r="F74" s="8">
        <v>143</v>
      </c>
      <c r="G74" s="8">
        <v>28.6</v>
      </c>
      <c r="H74" s="8">
        <v>114.4</v>
      </c>
      <c r="I74" s="24"/>
      <c r="J74" s="11">
        <v>5.7200000000000006</v>
      </c>
      <c r="K74" s="8">
        <v>0</v>
      </c>
      <c r="L74" s="11">
        <v>108.68</v>
      </c>
    </row>
    <row r="75" spans="1:12" x14ac:dyDescent="0.25">
      <c r="A75" s="13">
        <v>41211</v>
      </c>
      <c r="B75" s="12" t="s">
        <v>127</v>
      </c>
      <c r="C75" s="9">
        <v>7373089</v>
      </c>
      <c r="D75" s="10" t="s">
        <v>128</v>
      </c>
      <c r="E75" s="14" t="s">
        <v>129</v>
      </c>
      <c r="F75" s="8">
        <v>402</v>
      </c>
      <c r="G75" s="8">
        <v>80.400000000000006</v>
      </c>
      <c r="H75" s="8">
        <v>321.60000000000002</v>
      </c>
      <c r="I75" s="18"/>
      <c r="J75" s="11">
        <v>16.080000000000002</v>
      </c>
      <c r="K75" s="8">
        <v>0</v>
      </c>
      <c r="L75" s="11">
        <v>305.52000000000004</v>
      </c>
    </row>
    <row r="76" spans="1:12" x14ac:dyDescent="0.25">
      <c r="A76" s="13">
        <v>41211</v>
      </c>
      <c r="B76" s="12" t="s">
        <v>130</v>
      </c>
      <c r="C76" s="9">
        <v>1112379</v>
      </c>
      <c r="D76" s="10" t="s">
        <v>131</v>
      </c>
      <c r="E76" s="14">
        <v>519147</v>
      </c>
      <c r="F76" s="8">
        <v>712</v>
      </c>
      <c r="G76" s="8">
        <v>142.4</v>
      </c>
      <c r="H76" s="8">
        <v>569.6</v>
      </c>
      <c r="I76" s="19"/>
      <c r="J76" s="11">
        <v>28.480000000000004</v>
      </c>
      <c r="K76" s="8">
        <v>0</v>
      </c>
      <c r="L76" s="11">
        <v>541.12</v>
      </c>
    </row>
    <row r="77" spans="1:12" x14ac:dyDescent="0.25">
      <c r="A77" s="13">
        <v>41211</v>
      </c>
      <c r="B77" s="12" t="s">
        <v>132</v>
      </c>
      <c r="C77" s="9">
        <v>4071241</v>
      </c>
      <c r="D77" s="10" t="s">
        <v>133</v>
      </c>
      <c r="E77" s="14">
        <v>519034</v>
      </c>
      <c r="F77" s="8">
        <v>413.75</v>
      </c>
      <c r="G77" s="8">
        <v>70</v>
      </c>
      <c r="H77" s="8">
        <v>343.75</v>
      </c>
      <c r="I77" s="16"/>
      <c r="J77" s="11">
        <v>17.1875</v>
      </c>
      <c r="K77" s="8">
        <v>0</v>
      </c>
      <c r="L77" s="11">
        <v>326.5625</v>
      </c>
    </row>
    <row r="78" spans="1:12" x14ac:dyDescent="0.25">
      <c r="A78" s="13">
        <v>41211</v>
      </c>
      <c r="B78" s="12" t="s">
        <v>134</v>
      </c>
      <c r="C78" s="9">
        <v>7354064</v>
      </c>
      <c r="D78" s="10" t="s">
        <v>135</v>
      </c>
      <c r="E78" s="14">
        <v>518998</v>
      </c>
      <c r="F78" s="8">
        <v>862</v>
      </c>
      <c r="G78" s="8">
        <v>172.4</v>
      </c>
      <c r="H78" s="8">
        <v>689.6</v>
      </c>
      <c r="I78" s="24"/>
      <c r="J78" s="11">
        <v>34.480000000000004</v>
      </c>
      <c r="K78" s="8">
        <v>0</v>
      </c>
      <c r="L78" s="11">
        <v>655.12</v>
      </c>
    </row>
    <row r="79" spans="1:12" x14ac:dyDescent="0.25">
      <c r="A79" s="13">
        <v>41211</v>
      </c>
      <c r="B79" s="12" t="s">
        <v>136</v>
      </c>
      <c r="C79" s="9">
        <v>11879419</v>
      </c>
      <c r="D79" s="10" t="s">
        <v>137</v>
      </c>
      <c r="E79" s="14">
        <v>519219</v>
      </c>
      <c r="F79" s="8">
        <v>408</v>
      </c>
      <c r="G79" s="8">
        <v>81.599999999999994</v>
      </c>
      <c r="H79" s="8">
        <v>326.39999999999998</v>
      </c>
      <c r="I79" s="32">
        <v>395.47999999999996</v>
      </c>
      <c r="J79" s="11">
        <v>16.32</v>
      </c>
      <c r="K79" s="8">
        <v>0</v>
      </c>
      <c r="L79" s="11">
        <v>310.08</v>
      </c>
    </row>
    <row r="80" spans="1:12" x14ac:dyDescent="0.25">
      <c r="A80" s="13">
        <v>41212</v>
      </c>
      <c r="B80" s="12" t="s">
        <v>136</v>
      </c>
      <c r="C80" s="9">
        <v>11879419</v>
      </c>
      <c r="D80" s="10" t="s">
        <v>137</v>
      </c>
      <c r="E80" s="14">
        <v>519220</v>
      </c>
      <c r="F80" s="8">
        <v>63.82</v>
      </c>
      <c r="G80" s="8">
        <v>0</v>
      </c>
      <c r="H80" s="8">
        <v>69.08</v>
      </c>
      <c r="I80" s="32"/>
      <c r="J80" s="11">
        <v>0</v>
      </c>
      <c r="K80" s="8">
        <v>5.26</v>
      </c>
      <c r="L80" s="11">
        <v>69.08</v>
      </c>
    </row>
    <row r="81" spans="1:12" x14ac:dyDescent="0.25">
      <c r="A81" s="13">
        <v>41212</v>
      </c>
      <c r="B81" s="12" t="s">
        <v>138</v>
      </c>
      <c r="C81" s="9">
        <v>5255641</v>
      </c>
      <c r="D81" s="10" t="s">
        <v>139</v>
      </c>
      <c r="E81" s="14">
        <v>519225</v>
      </c>
      <c r="F81" s="8">
        <v>630</v>
      </c>
      <c r="G81" s="8">
        <v>126</v>
      </c>
      <c r="H81" s="8">
        <v>504</v>
      </c>
      <c r="I81" s="18"/>
      <c r="J81" s="11">
        <v>25.200000000000003</v>
      </c>
      <c r="K81" s="8">
        <v>0</v>
      </c>
      <c r="L81" s="11">
        <v>478.8</v>
      </c>
    </row>
    <row r="82" spans="1:12" x14ac:dyDescent="0.25">
      <c r="A82" s="13">
        <v>41212</v>
      </c>
      <c r="B82" s="12" t="s">
        <v>140</v>
      </c>
      <c r="C82" s="9">
        <v>11425449</v>
      </c>
      <c r="D82" s="10" t="s">
        <v>141</v>
      </c>
      <c r="E82" s="14">
        <v>519261</v>
      </c>
      <c r="F82" s="8">
        <v>219</v>
      </c>
      <c r="G82" s="8">
        <v>43.8</v>
      </c>
      <c r="H82" s="8">
        <v>175.2</v>
      </c>
      <c r="I82" s="18"/>
      <c r="J82" s="11">
        <v>8.76</v>
      </c>
      <c r="K82" s="8">
        <v>0</v>
      </c>
      <c r="L82" s="11">
        <v>166.44</v>
      </c>
    </row>
    <row r="83" spans="1:12" x14ac:dyDescent="0.25">
      <c r="A83" s="13">
        <v>41212</v>
      </c>
      <c r="B83" s="12" t="s">
        <v>142</v>
      </c>
      <c r="C83" s="9">
        <v>13265946</v>
      </c>
      <c r="D83" s="10" t="s">
        <v>143</v>
      </c>
      <c r="E83" s="14">
        <v>519319</v>
      </c>
      <c r="F83" s="8">
        <v>359.48</v>
      </c>
      <c r="G83" s="8">
        <v>71.900000000000006</v>
      </c>
      <c r="H83" s="8">
        <v>287.58</v>
      </c>
      <c r="I83" s="18"/>
      <c r="J83" s="11">
        <v>14.379</v>
      </c>
      <c r="K83" s="8">
        <v>0</v>
      </c>
      <c r="L83" s="11">
        <v>273.20099999999996</v>
      </c>
    </row>
    <row r="84" spans="1:12" x14ac:dyDescent="0.25">
      <c r="A84" s="13">
        <v>41212</v>
      </c>
      <c r="B84" s="12" t="s">
        <v>144</v>
      </c>
      <c r="C84" s="9">
        <v>15729536</v>
      </c>
      <c r="D84" s="10" t="s">
        <v>145</v>
      </c>
      <c r="E84" s="14">
        <v>519164</v>
      </c>
      <c r="F84" s="8">
        <v>166.4</v>
      </c>
      <c r="G84" s="8">
        <v>29.6</v>
      </c>
      <c r="H84" s="8">
        <v>136.80000000000001</v>
      </c>
      <c r="I84" s="19"/>
      <c r="J84" s="11">
        <v>6.8400000000000007</v>
      </c>
      <c r="K84" s="8">
        <v>0</v>
      </c>
      <c r="L84" s="11">
        <v>129.96</v>
      </c>
    </row>
    <row r="85" spans="1:12" x14ac:dyDescent="0.25">
      <c r="A85" s="13">
        <v>41212</v>
      </c>
      <c r="B85" s="12" t="s">
        <v>146</v>
      </c>
      <c r="C85" s="9">
        <v>7392153</v>
      </c>
      <c r="D85" s="10" t="s">
        <v>147</v>
      </c>
      <c r="E85" s="14">
        <v>519049</v>
      </c>
      <c r="F85" s="8">
        <v>150.07</v>
      </c>
      <c r="G85" s="8">
        <v>30.01</v>
      </c>
      <c r="H85" s="8">
        <v>120.06</v>
      </c>
      <c r="I85" s="16"/>
      <c r="J85" s="11">
        <v>6.0030000000000001</v>
      </c>
      <c r="K85" s="8">
        <v>0</v>
      </c>
      <c r="L85" s="11">
        <v>114.057</v>
      </c>
    </row>
    <row r="86" spans="1:12" x14ac:dyDescent="0.25">
      <c r="A86" s="13">
        <v>41212</v>
      </c>
      <c r="B86" s="12" t="s">
        <v>148</v>
      </c>
      <c r="C86" s="9">
        <v>13510180</v>
      </c>
      <c r="D86" s="10" t="s">
        <v>149</v>
      </c>
      <c r="E86" s="14">
        <v>519274</v>
      </c>
      <c r="F86" s="8">
        <v>240.32</v>
      </c>
      <c r="G86" s="8">
        <v>31.5</v>
      </c>
      <c r="H86" s="8">
        <v>218.76</v>
      </c>
      <c r="I86" s="16"/>
      <c r="J86" s="11">
        <v>10.938000000000001</v>
      </c>
      <c r="K86" s="8">
        <v>9.94</v>
      </c>
      <c r="L86" s="11">
        <v>207.822</v>
      </c>
    </row>
    <row r="87" spans="1:12" x14ac:dyDescent="0.25">
      <c r="A87" s="13">
        <v>41212</v>
      </c>
      <c r="B87" s="12" t="s">
        <v>150</v>
      </c>
      <c r="C87" s="9">
        <v>9542237</v>
      </c>
      <c r="D87" s="10" t="s">
        <v>151</v>
      </c>
      <c r="E87" s="14">
        <v>519014</v>
      </c>
      <c r="F87" s="8">
        <v>439</v>
      </c>
      <c r="G87" s="8">
        <v>87.8</v>
      </c>
      <c r="H87" s="8">
        <v>351.2</v>
      </c>
      <c r="I87" s="32">
        <v>399.2</v>
      </c>
      <c r="J87" s="11">
        <v>17.559999999999999</v>
      </c>
      <c r="K87" s="8">
        <v>0</v>
      </c>
      <c r="L87" s="11">
        <v>333.64</v>
      </c>
    </row>
    <row r="88" spans="1:12" x14ac:dyDescent="0.25">
      <c r="A88" s="13">
        <v>41212</v>
      </c>
      <c r="B88" s="12" t="s">
        <v>150</v>
      </c>
      <c r="C88" s="9">
        <v>9542237</v>
      </c>
      <c r="D88" s="10" t="s">
        <v>151</v>
      </c>
      <c r="E88" s="14">
        <v>519015</v>
      </c>
      <c r="F88" s="8">
        <v>48</v>
      </c>
      <c r="G88" s="8">
        <v>0</v>
      </c>
      <c r="H88" s="8">
        <v>48</v>
      </c>
      <c r="I88" s="32"/>
      <c r="J88" s="11">
        <v>0</v>
      </c>
      <c r="K88" s="8">
        <v>0</v>
      </c>
      <c r="L88" s="11">
        <v>48</v>
      </c>
    </row>
    <row r="89" spans="1:12" x14ac:dyDescent="0.25">
      <c r="A89" s="13">
        <v>41213</v>
      </c>
      <c r="B89" s="12" t="s">
        <v>152</v>
      </c>
      <c r="C89" s="9">
        <v>16137706</v>
      </c>
      <c r="D89" s="10" t="s">
        <v>153</v>
      </c>
      <c r="E89" s="14">
        <v>519287</v>
      </c>
      <c r="F89" s="8">
        <v>82.83</v>
      </c>
      <c r="G89" s="8">
        <v>0</v>
      </c>
      <c r="H89" s="8">
        <v>92.77</v>
      </c>
      <c r="I89" s="18"/>
      <c r="J89" s="11">
        <v>0</v>
      </c>
      <c r="K89" s="8">
        <v>9.94</v>
      </c>
      <c r="L89" s="11">
        <v>92.77</v>
      </c>
    </row>
    <row r="90" spans="1:12" x14ac:dyDescent="0.25">
      <c r="A90" s="13">
        <v>41213</v>
      </c>
      <c r="B90" s="12" t="s">
        <v>154</v>
      </c>
      <c r="C90" s="9">
        <v>12249178</v>
      </c>
      <c r="D90" s="10" t="s">
        <v>155</v>
      </c>
      <c r="E90" s="14">
        <v>519340</v>
      </c>
      <c r="F90" s="8">
        <v>348</v>
      </c>
      <c r="G90" s="8">
        <v>63.6</v>
      </c>
      <c r="H90" s="8">
        <v>284.39999999999998</v>
      </c>
      <c r="I90" s="19"/>
      <c r="J90" s="11">
        <v>14.219999999999999</v>
      </c>
      <c r="K90" s="8">
        <v>0</v>
      </c>
      <c r="L90" s="11">
        <v>270.17999999999995</v>
      </c>
    </row>
    <row r="91" spans="1:12" x14ac:dyDescent="0.25">
      <c r="A91" s="13">
        <v>41213</v>
      </c>
      <c r="B91" s="12" t="s">
        <v>156</v>
      </c>
      <c r="C91" s="9">
        <v>7449457</v>
      </c>
      <c r="D91" s="10" t="s">
        <v>157</v>
      </c>
      <c r="E91" s="14">
        <v>519033</v>
      </c>
      <c r="F91" s="8">
        <v>218</v>
      </c>
      <c r="G91" s="8">
        <v>43.6</v>
      </c>
      <c r="H91" s="8">
        <v>174.4</v>
      </c>
      <c r="I91" s="16"/>
      <c r="J91" s="11">
        <v>8.7200000000000006</v>
      </c>
      <c r="K91" s="8">
        <v>0</v>
      </c>
      <c r="L91" s="11">
        <v>165.68</v>
      </c>
    </row>
    <row r="92" spans="1:12" x14ac:dyDescent="0.25">
      <c r="A92" s="21"/>
      <c r="B92" s="21"/>
      <c r="C92" s="21"/>
      <c r="D92" s="21"/>
      <c r="E92" s="22"/>
      <c r="F92" s="15">
        <v>29216.960000000006</v>
      </c>
      <c r="G92" s="15">
        <v>5482.630000000001</v>
      </c>
      <c r="H92" s="16">
        <v>23873.680000000004</v>
      </c>
      <c r="I92" s="16"/>
      <c r="J92" s="17">
        <v>1157.5365000000002</v>
      </c>
      <c r="K92" s="23">
        <v>138.70000000000002</v>
      </c>
      <c r="L92" s="17">
        <v>22716.143500000006</v>
      </c>
    </row>
    <row r="93" spans="1:12" x14ac:dyDescent="0.25">
      <c r="A93" s="21"/>
      <c r="B93" s="21"/>
      <c r="C93" s="21"/>
      <c r="D93" s="21"/>
      <c r="E93" s="22"/>
      <c r="F93" s="15"/>
      <c r="G93" s="15"/>
      <c r="H93" s="16"/>
      <c r="I93" s="16"/>
      <c r="J93" s="17"/>
      <c r="K93" s="23"/>
      <c r="L93" s="17"/>
    </row>
    <row r="94" spans="1:12" x14ac:dyDescent="0.25">
      <c r="A94" s="2"/>
      <c r="B94" s="43" t="s">
        <v>158</v>
      </c>
      <c r="C94" s="44"/>
      <c r="D94" s="45"/>
      <c r="E94" s="46" t="s">
        <v>159</v>
      </c>
      <c r="F94" s="46"/>
      <c r="G94" s="46"/>
      <c r="H94" s="46"/>
      <c r="I94" s="46"/>
      <c r="J94" s="47"/>
      <c r="K94" s="3"/>
      <c r="L94" s="4"/>
    </row>
    <row r="95" spans="1:12" x14ac:dyDescent="0.25">
      <c r="A95" s="2"/>
      <c r="B95" s="48"/>
      <c r="C95" s="49"/>
      <c r="D95" s="50"/>
      <c r="E95" s="54"/>
      <c r="F95" s="55"/>
      <c r="G95" s="55"/>
      <c r="H95" s="55"/>
      <c r="I95" s="55"/>
      <c r="J95" s="56"/>
      <c r="K95" s="3"/>
      <c r="L95" s="4"/>
    </row>
    <row r="96" spans="1:12" x14ac:dyDescent="0.25">
      <c r="A96" s="1"/>
      <c r="B96" s="51"/>
      <c r="C96" s="52"/>
      <c r="D96" s="53"/>
      <c r="E96" s="57"/>
      <c r="F96" s="58"/>
      <c r="G96" s="58"/>
      <c r="H96" s="58"/>
      <c r="I96" s="58"/>
      <c r="J96" s="59"/>
      <c r="K96" s="1"/>
      <c r="L96" s="1"/>
    </row>
    <row r="97" spans="1:12" x14ac:dyDescent="0.25">
      <c r="A97" s="1"/>
      <c r="B97" s="35" t="s">
        <v>160</v>
      </c>
      <c r="C97" s="36"/>
      <c r="D97" s="37"/>
      <c r="E97" s="38" t="s">
        <v>161</v>
      </c>
      <c r="F97" s="39"/>
      <c r="G97" s="39"/>
      <c r="H97" s="39"/>
      <c r="I97" s="39"/>
      <c r="J97" s="40"/>
      <c r="K97" s="1"/>
      <c r="L97" s="1"/>
    </row>
  </sheetData>
  <mergeCells count="25">
    <mergeCell ref="B97:D97"/>
    <mergeCell ref="E97:J97"/>
    <mergeCell ref="A7:L7"/>
    <mergeCell ref="H8:I8"/>
    <mergeCell ref="B94:D94"/>
    <mergeCell ref="E94:J94"/>
    <mergeCell ref="B95:D96"/>
    <mergeCell ref="E95:J96"/>
    <mergeCell ref="I13:I14"/>
    <mergeCell ref="I15:I16"/>
    <mergeCell ref="I21:I22"/>
    <mergeCell ref="I27:I28"/>
    <mergeCell ref="I31:I32"/>
    <mergeCell ref="I79:I80"/>
    <mergeCell ref="A2:L2"/>
    <mergeCell ref="A3:L3"/>
    <mergeCell ref="A4:L4"/>
    <mergeCell ref="I87:I88"/>
    <mergeCell ref="I33:I34"/>
    <mergeCell ref="I35:I36"/>
    <mergeCell ref="I44:I45"/>
    <mergeCell ref="I54:I55"/>
    <mergeCell ref="I67:I68"/>
    <mergeCell ref="A5:L5"/>
    <mergeCell ref="A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/>
  </sheetViews>
  <sheetFormatPr baseColWidth="10" defaultRowHeight="15" x14ac:dyDescent="0.25"/>
  <cols>
    <col min="2" max="2" width="23" bestFit="1" customWidth="1"/>
  </cols>
  <sheetData>
    <row r="1" spans="1:5" x14ac:dyDescent="0.25">
      <c r="A1" t="str">
        <f>CONCATENATE("V",Hoja1!C9)</f>
        <v>V4385047</v>
      </c>
      <c r="B1" t="str">
        <f>+Hoja1!B9</f>
        <v>ALVARADO  RAMIRO</v>
      </c>
      <c r="C1">
        <f>+Hoja1!H9</f>
        <v>569.6</v>
      </c>
      <c r="D1">
        <f>+Hoja1!J9</f>
        <v>28.480000000000004</v>
      </c>
      <c r="E1">
        <f>+Hoja1!L9</f>
        <v>541.12</v>
      </c>
    </row>
    <row r="2" spans="1:5" x14ac:dyDescent="0.25">
      <c r="A2" t="str">
        <f>CONCATENATE("V",Hoja1!C10)</f>
        <v>V10784623</v>
      </c>
      <c r="B2" t="str">
        <f>+Hoja1!B10</f>
        <v>ALVARADO  RAMON</v>
      </c>
      <c r="C2">
        <f>+Hoja1!H10</f>
        <v>244.25</v>
      </c>
      <c r="D2">
        <f>+Hoja1!J10</f>
        <v>12.2125</v>
      </c>
      <c r="E2">
        <f>+Hoja1!L10</f>
        <v>232.03749999999999</v>
      </c>
    </row>
    <row r="3" spans="1:5" x14ac:dyDescent="0.25">
      <c r="A3" t="str">
        <f>CONCATENATE("V",Hoja1!C11)</f>
        <v>V18785684</v>
      </c>
      <c r="B3" t="str">
        <f>+Hoja1!B11</f>
        <v>ALVAREZ NINOSKA</v>
      </c>
      <c r="C3">
        <f>+Hoja1!H11</f>
        <v>498.36</v>
      </c>
      <c r="D3">
        <f>+Hoja1!J11</f>
        <v>24.918000000000003</v>
      </c>
      <c r="E3">
        <f>+Hoja1!L11</f>
        <v>473.44200000000001</v>
      </c>
    </row>
    <row r="4" spans="1:5" x14ac:dyDescent="0.25">
      <c r="A4" t="str">
        <f>CONCATENATE("V",Hoja1!C12)</f>
        <v>V13346269</v>
      </c>
      <c r="B4" t="str">
        <f>+Hoja1!B12</f>
        <v>ALVAREZ THAIS</v>
      </c>
      <c r="C4">
        <f>+Hoja1!H12</f>
        <v>187.66</v>
      </c>
      <c r="D4">
        <f>+Hoja1!J12</f>
        <v>9.3830000000000009</v>
      </c>
      <c r="E4">
        <f>+Hoja1!L12</f>
        <v>178.27699999999999</v>
      </c>
    </row>
    <row r="5" spans="1:5" x14ac:dyDescent="0.25">
      <c r="A5" t="str">
        <f>CONCATENATE("V",Hoja1!C13)</f>
        <v>V13180551</v>
      </c>
      <c r="B5" t="str">
        <f>+Hoja1!B13</f>
        <v>ANDRADE FREDDY</v>
      </c>
      <c r="C5">
        <f>+Hoja1!H13</f>
        <v>366.4</v>
      </c>
      <c r="D5">
        <f>+Hoja1!J13</f>
        <v>18.32</v>
      </c>
      <c r="E5">
        <f>+Hoja1!L13</f>
        <v>348.08</v>
      </c>
    </row>
    <row r="6" spans="1:5" x14ac:dyDescent="0.25">
      <c r="A6" t="str">
        <f>CONCATENATE("V",Hoja1!C14)</f>
        <v>V13180551</v>
      </c>
      <c r="B6" t="str">
        <f>+Hoja1!B14</f>
        <v>ANDRADE FREDDY</v>
      </c>
      <c r="C6">
        <f>+Hoja1!H14</f>
        <v>26.14</v>
      </c>
      <c r="D6">
        <f>+Hoja1!J14</f>
        <v>0</v>
      </c>
      <c r="E6">
        <f>+Hoja1!L14</f>
        <v>26.14</v>
      </c>
    </row>
    <row r="7" spans="1:5" x14ac:dyDescent="0.25">
      <c r="A7" t="str">
        <f>CONCATENATE("V",Hoja1!C15)</f>
        <v>V11269196</v>
      </c>
      <c r="B7" t="str">
        <f>+Hoja1!B15</f>
        <v>ANZOLA BLADIMIR</v>
      </c>
      <c r="C7">
        <f>+Hoja1!H15</f>
        <v>207.44</v>
      </c>
      <c r="D7">
        <f>+Hoja1!J15</f>
        <v>10.372</v>
      </c>
      <c r="E7">
        <f>+Hoja1!L15</f>
        <v>197.06799999999998</v>
      </c>
    </row>
    <row r="8" spans="1:5" x14ac:dyDescent="0.25">
      <c r="A8" t="str">
        <f>CONCATENATE("V",Hoja1!C16)</f>
        <v>V11269196</v>
      </c>
      <c r="B8" t="str">
        <f>+Hoja1!B16</f>
        <v>ANZOLA BLADIMIR</v>
      </c>
      <c r="C8">
        <f>+Hoja1!H16</f>
        <v>140.80000000000001</v>
      </c>
      <c r="D8">
        <f>+Hoja1!J16</f>
        <v>7.0400000000000009</v>
      </c>
      <c r="E8">
        <f>+Hoja1!L16</f>
        <v>133.76000000000002</v>
      </c>
    </row>
    <row r="9" spans="1:5" x14ac:dyDescent="0.25">
      <c r="A9" t="str">
        <f>CONCATENATE("V",Hoja1!C17)</f>
        <v>V12848719</v>
      </c>
      <c r="B9" t="str">
        <f>+Hoja1!B17</f>
        <v>ARRIECHE P. SILVIO</v>
      </c>
      <c r="C9">
        <f>+Hoja1!H17</f>
        <v>100.8</v>
      </c>
      <c r="D9">
        <f>+Hoja1!J17</f>
        <v>5.04</v>
      </c>
      <c r="E9">
        <f>+Hoja1!L17</f>
        <v>95.759999999999991</v>
      </c>
    </row>
    <row r="10" spans="1:5" x14ac:dyDescent="0.25">
      <c r="A10" t="str">
        <f>CONCATENATE("V",Hoja1!C18)</f>
        <v>V7444842</v>
      </c>
      <c r="B10" t="str">
        <f>+Hoja1!B18</f>
        <v>ARRIECHE RAFAEL</v>
      </c>
      <c r="C10">
        <f>+Hoja1!H18</f>
        <v>279.7</v>
      </c>
      <c r="D10">
        <f>+Hoja1!J18</f>
        <v>13.984999999999999</v>
      </c>
      <c r="E10">
        <f>+Hoja1!L18</f>
        <v>265.71499999999997</v>
      </c>
    </row>
    <row r="11" spans="1:5" x14ac:dyDescent="0.25">
      <c r="A11" t="str">
        <f>CONCATENATE("V",Hoja1!C19)</f>
        <v>V7344290</v>
      </c>
      <c r="B11" t="str">
        <f>+Hoja1!B19</f>
        <v>BELLO LAYA JULIO</v>
      </c>
      <c r="C11">
        <f>+Hoja1!H19</f>
        <v>164.8</v>
      </c>
      <c r="D11">
        <f>+Hoja1!J19</f>
        <v>8.24</v>
      </c>
      <c r="E11">
        <f>+Hoja1!L19</f>
        <v>156.56</v>
      </c>
    </row>
    <row r="12" spans="1:5" x14ac:dyDescent="0.25">
      <c r="A12" t="str">
        <f>CONCATENATE("V",Hoja1!C20)</f>
        <v>V16770549</v>
      </c>
      <c r="B12" t="str">
        <f>+Hoja1!B20</f>
        <v>CARRASCO TONDIS</v>
      </c>
      <c r="C12">
        <f>+Hoja1!H20</f>
        <v>369.6</v>
      </c>
      <c r="D12">
        <f>+Hoja1!J20</f>
        <v>18.48</v>
      </c>
      <c r="E12">
        <f>+Hoja1!L20</f>
        <v>351.12</v>
      </c>
    </row>
    <row r="13" spans="1:5" x14ac:dyDescent="0.25">
      <c r="A13" t="str">
        <f>CONCATENATE("V",Hoja1!C21)</f>
        <v>V3084978</v>
      </c>
      <c r="B13" t="str">
        <f>+Hoja1!B21</f>
        <v>CASTILLO  JOSE</v>
      </c>
      <c r="C13">
        <f>+Hoja1!H21</f>
        <v>200.98</v>
      </c>
      <c r="D13">
        <f>+Hoja1!J21</f>
        <v>10.048999999999999</v>
      </c>
      <c r="E13">
        <f>+Hoja1!L21</f>
        <v>190.93099999999998</v>
      </c>
    </row>
    <row r="14" spans="1:5" x14ac:dyDescent="0.25">
      <c r="A14" t="str">
        <f>CONCATENATE("V",Hoja1!C22)</f>
        <v>V3084978</v>
      </c>
      <c r="B14" t="str">
        <f>+Hoja1!B22</f>
        <v>CASTILLO  JOSE</v>
      </c>
      <c r="C14">
        <f>+Hoja1!H22</f>
        <v>72</v>
      </c>
      <c r="D14">
        <f>+Hoja1!J22</f>
        <v>3.6</v>
      </c>
      <c r="E14">
        <f>+Hoja1!L22</f>
        <v>68.400000000000006</v>
      </c>
    </row>
    <row r="15" spans="1:5" x14ac:dyDescent="0.25">
      <c r="A15" t="str">
        <f>CONCATENATE("V",Hoja1!C23)</f>
        <v>V9540845</v>
      </c>
      <c r="B15" t="str">
        <f>+Hoja1!B23</f>
        <v>CASTILLO HONORIO</v>
      </c>
      <c r="C15">
        <f>+Hoja1!H23</f>
        <v>74.180000000000007</v>
      </c>
      <c r="D15">
        <f>+Hoja1!J23</f>
        <v>3.7090000000000005</v>
      </c>
      <c r="E15">
        <f>+Hoja1!L23</f>
        <v>70.471000000000004</v>
      </c>
    </row>
    <row r="16" spans="1:5" x14ac:dyDescent="0.25">
      <c r="A16" t="str">
        <f>CONCATENATE("V",Hoja1!C24)</f>
        <v>V5239261</v>
      </c>
      <c r="B16" t="str">
        <f>+Hoja1!B24</f>
        <v>CASTILLO M. RAMON</v>
      </c>
      <c r="C16">
        <f>+Hoja1!H24</f>
        <v>348.8</v>
      </c>
      <c r="D16">
        <f>+Hoja1!J24</f>
        <v>17.440000000000001</v>
      </c>
      <c r="E16">
        <f>+Hoja1!L24</f>
        <v>331.36</v>
      </c>
    </row>
    <row r="17" spans="1:5" x14ac:dyDescent="0.25">
      <c r="A17" t="str">
        <f>CONCATENATE("V",Hoja1!C25)</f>
        <v>V7310425</v>
      </c>
      <c r="B17" t="str">
        <f>+Hoja1!B25</f>
        <v>COLMENAREZ  MIGUEL</v>
      </c>
      <c r="C17">
        <f>+Hoja1!H25</f>
        <v>569.6</v>
      </c>
      <c r="D17">
        <f>+Hoja1!J25</f>
        <v>28.480000000000004</v>
      </c>
      <c r="E17">
        <f>+Hoja1!L25</f>
        <v>541.12</v>
      </c>
    </row>
    <row r="18" spans="1:5" x14ac:dyDescent="0.25">
      <c r="A18" t="str">
        <f>CONCATENATE("V",Hoja1!C26)</f>
        <v>V7350162</v>
      </c>
      <c r="B18" t="str">
        <f>+Hoja1!B26</f>
        <v>COLMENAREZ LUIS</v>
      </c>
      <c r="C18">
        <f>+Hoja1!H26</f>
        <v>136.58000000000001</v>
      </c>
      <c r="D18">
        <f>+Hoja1!J26</f>
        <v>0</v>
      </c>
      <c r="E18">
        <f>+Hoja1!L26</f>
        <v>136.58000000000001</v>
      </c>
    </row>
    <row r="19" spans="1:5" x14ac:dyDescent="0.25">
      <c r="A19" t="str">
        <f>CONCATENATE("V",Hoja1!C27)</f>
        <v>V12018852</v>
      </c>
      <c r="B19" t="str">
        <f>+Hoja1!B27</f>
        <v>CONDES HECTOR</v>
      </c>
      <c r="C19">
        <f>+Hoja1!H27</f>
        <v>170.4</v>
      </c>
      <c r="D19">
        <f>+Hoja1!J27</f>
        <v>8.5200000000000014</v>
      </c>
      <c r="E19">
        <f>+Hoja1!L27</f>
        <v>161.88</v>
      </c>
    </row>
    <row r="20" spans="1:5" x14ac:dyDescent="0.25">
      <c r="A20" t="str">
        <f>CONCATENATE("V",Hoja1!C28)</f>
        <v>V12018852</v>
      </c>
      <c r="B20" t="str">
        <f>+Hoja1!B28</f>
        <v>CONDES HECTOR</v>
      </c>
      <c r="C20">
        <f>+Hoja1!H28</f>
        <v>112</v>
      </c>
      <c r="D20">
        <f>+Hoja1!J28</f>
        <v>5.6000000000000005</v>
      </c>
      <c r="E20">
        <f>+Hoja1!L28</f>
        <v>106.4</v>
      </c>
    </row>
    <row r="21" spans="1:5" x14ac:dyDescent="0.25">
      <c r="A21" t="str">
        <f>CONCATENATE("V",Hoja1!C29)</f>
        <v>V9211039</v>
      </c>
      <c r="B21" t="str">
        <f>+Hoja1!B29</f>
        <v>DAVILA CHACON INGRID</v>
      </c>
      <c r="C21">
        <f>+Hoja1!H29</f>
        <v>560</v>
      </c>
      <c r="D21">
        <f>+Hoja1!J29</f>
        <v>28</v>
      </c>
      <c r="E21">
        <f>+Hoja1!L29</f>
        <v>532</v>
      </c>
    </row>
    <row r="22" spans="1:5" x14ac:dyDescent="0.25">
      <c r="A22" t="str">
        <f>CONCATENATE("V",Hoja1!C30)</f>
        <v>V3039370</v>
      </c>
      <c r="B22" t="str">
        <f>+Hoja1!B30</f>
        <v>DIAZ DIAZ JUAN</v>
      </c>
      <c r="C22">
        <f>+Hoja1!H30</f>
        <v>569.6</v>
      </c>
      <c r="D22">
        <f>+Hoja1!J30</f>
        <v>28.480000000000004</v>
      </c>
      <c r="E22">
        <f>+Hoja1!L30</f>
        <v>541.12</v>
      </c>
    </row>
    <row r="23" spans="1:5" x14ac:dyDescent="0.25">
      <c r="A23" t="str">
        <f>CONCATENATE("V",Hoja1!C31)</f>
        <v>V11586448</v>
      </c>
      <c r="B23" t="str">
        <f>+Hoja1!B31</f>
        <v>ESCALONA MOISES</v>
      </c>
      <c r="C23">
        <f>+Hoja1!H31</f>
        <v>338.94</v>
      </c>
      <c r="D23">
        <f>+Hoja1!J31</f>
        <v>16.946999999999999</v>
      </c>
      <c r="E23">
        <f>+Hoja1!L31</f>
        <v>321.99299999999999</v>
      </c>
    </row>
    <row r="24" spans="1:5" x14ac:dyDescent="0.25">
      <c r="A24" t="str">
        <f>CONCATENATE("V",Hoja1!C32)</f>
        <v>V11586448</v>
      </c>
      <c r="B24" t="str">
        <f>+Hoja1!B32</f>
        <v>ESCALONA MOISES</v>
      </c>
      <c r="C24">
        <f>+Hoja1!H32</f>
        <v>4.03</v>
      </c>
      <c r="D24">
        <f>+Hoja1!J32</f>
        <v>0</v>
      </c>
      <c r="E24">
        <f>+Hoja1!L32</f>
        <v>4.03</v>
      </c>
    </row>
    <row r="25" spans="1:5" x14ac:dyDescent="0.25">
      <c r="A25" t="str">
        <f>CONCATENATE("V",Hoja1!C33)</f>
        <v>V4732618</v>
      </c>
      <c r="B25" t="str">
        <f>+Hoja1!B33</f>
        <v>GARCES  NELLY</v>
      </c>
      <c r="C25">
        <f>+Hoja1!H33</f>
        <v>393.6</v>
      </c>
      <c r="D25">
        <f>+Hoja1!J33</f>
        <v>19.680000000000003</v>
      </c>
      <c r="E25">
        <f>+Hoja1!L33</f>
        <v>373.92</v>
      </c>
    </row>
    <row r="26" spans="1:5" x14ac:dyDescent="0.25">
      <c r="A26" t="str">
        <f>CONCATENATE("V",Hoja1!C34)</f>
        <v>V4732618</v>
      </c>
      <c r="B26" t="str">
        <f>+Hoja1!B34</f>
        <v>GARCES  NELLY</v>
      </c>
      <c r="C26">
        <f>+Hoja1!H34</f>
        <v>57.6</v>
      </c>
      <c r="D26">
        <f>+Hoja1!J34</f>
        <v>2.8800000000000003</v>
      </c>
      <c r="E26">
        <f>+Hoja1!L34</f>
        <v>54.72</v>
      </c>
    </row>
    <row r="27" spans="1:5" x14ac:dyDescent="0.25">
      <c r="A27" t="str">
        <f>CONCATENATE("V",Hoja1!C35)</f>
        <v>V3857667</v>
      </c>
      <c r="B27" t="str">
        <f>+Hoja1!B35</f>
        <v>GIL  PABLO</v>
      </c>
      <c r="C27">
        <f>+Hoja1!H35</f>
        <v>195.8</v>
      </c>
      <c r="D27">
        <f>+Hoja1!J35</f>
        <v>9.7900000000000009</v>
      </c>
      <c r="E27">
        <f>+Hoja1!L35</f>
        <v>186.01000000000002</v>
      </c>
    </row>
    <row r="28" spans="1:5" x14ac:dyDescent="0.25">
      <c r="A28" t="str">
        <f>CONCATENATE("V",Hoja1!C36)</f>
        <v>V3857667</v>
      </c>
      <c r="B28" t="str">
        <f>+Hoja1!B36</f>
        <v>GIL  PABLO</v>
      </c>
      <c r="C28">
        <f>+Hoja1!H36</f>
        <v>569.6</v>
      </c>
      <c r="D28">
        <f>+Hoja1!J36</f>
        <v>28.480000000000004</v>
      </c>
      <c r="E28">
        <f>+Hoja1!L36</f>
        <v>541.12</v>
      </c>
    </row>
    <row r="29" spans="1:5" x14ac:dyDescent="0.25">
      <c r="A29" t="str">
        <f>CONCATENATE("V",Hoja1!C37)</f>
        <v>V9604593</v>
      </c>
      <c r="B29" t="str">
        <f>+Hoja1!B37</f>
        <v>GIL RAFAEL</v>
      </c>
      <c r="C29">
        <f>+Hoja1!H37</f>
        <v>169.98</v>
      </c>
      <c r="D29">
        <f>+Hoja1!J37</f>
        <v>8.4990000000000006</v>
      </c>
      <c r="E29">
        <f>+Hoja1!L37</f>
        <v>161.48099999999999</v>
      </c>
    </row>
    <row r="30" spans="1:5" x14ac:dyDescent="0.25">
      <c r="A30" t="str">
        <f>CONCATENATE("V",Hoja1!C38)</f>
        <v>V7436996</v>
      </c>
      <c r="B30" t="str">
        <f>+Hoja1!B38</f>
        <v>GIMENEZ  ERNESTO</v>
      </c>
      <c r="C30">
        <f>+Hoja1!H38</f>
        <v>384.8</v>
      </c>
      <c r="D30">
        <f>+Hoja1!J38</f>
        <v>19.240000000000002</v>
      </c>
      <c r="E30">
        <f>+Hoja1!L38</f>
        <v>365.56</v>
      </c>
    </row>
    <row r="31" spans="1:5" x14ac:dyDescent="0.25">
      <c r="A31" t="str">
        <f>CONCATENATE("V",Hoja1!C39)</f>
        <v>V12851330</v>
      </c>
      <c r="B31" t="str">
        <f>+Hoja1!B39</f>
        <v>GIMENEZ JOSE</v>
      </c>
      <c r="C31">
        <f>+Hoja1!H39</f>
        <v>162.35</v>
      </c>
      <c r="D31">
        <f>+Hoja1!J39</f>
        <v>8.1174999999999997</v>
      </c>
      <c r="E31">
        <f>+Hoja1!L39</f>
        <v>154.23249999999999</v>
      </c>
    </row>
    <row r="32" spans="1:5" x14ac:dyDescent="0.25">
      <c r="A32" t="str">
        <f>CONCATENATE("V",Hoja1!C40)</f>
        <v>V12704927</v>
      </c>
      <c r="B32" t="str">
        <f>+Hoja1!B40</f>
        <v>GOMEZ MEDINA JUAN</v>
      </c>
      <c r="C32">
        <f>+Hoja1!H40</f>
        <v>65.599999999999994</v>
      </c>
      <c r="D32">
        <f>+Hoja1!J40</f>
        <v>3.28</v>
      </c>
      <c r="E32">
        <f>+Hoja1!L40</f>
        <v>62.319999999999993</v>
      </c>
    </row>
    <row r="33" spans="1:5" x14ac:dyDescent="0.25">
      <c r="A33" t="str">
        <f>CONCATENATE("V",Hoja1!C41)</f>
        <v>V9639201</v>
      </c>
      <c r="B33" t="str">
        <f>+Hoja1!B41</f>
        <v>GONZALEZ  ALBERTO</v>
      </c>
      <c r="C33">
        <f>+Hoja1!H41</f>
        <v>211.86</v>
      </c>
      <c r="D33">
        <f>+Hoja1!J41</f>
        <v>10.593000000000002</v>
      </c>
      <c r="E33">
        <f>+Hoja1!L41</f>
        <v>201.26700000000002</v>
      </c>
    </row>
    <row r="34" spans="1:5" x14ac:dyDescent="0.25">
      <c r="A34" t="str">
        <f>CONCATENATE("V",Hoja1!C42)</f>
        <v>V10849907</v>
      </c>
      <c r="B34" t="str">
        <f>+Hoja1!B42</f>
        <v>GRATEROL JHONNY</v>
      </c>
      <c r="C34">
        <f>+Hoja1!H42</f>
        <v>88.49</v>
      </c>
      <c r="D34">
        <f>+Hoja1!J42</f>
        <v>4.4245000000000001</v>
      </c>
      <c r="E34">
        <f>+Hoja1!L42</f>
        <v>84.0655</v>
      </c>
    </row>
    <row r="35" spans="1:5" x14ac:dyDescent="0.25">
      <c r="A35" t="str">
        <f>CONCATENATE("V",Hoja1!C43)</f>
        <v>V7309375</v>
      </c>
      <c r="B35" t="str">
        <f>+Hoja1!B43</f>
        <v>GUERRA  JOSE</v>
      </c>
      <c r="C35">
        <f>+Hoja1!H43</f>
        <v>343.58</v>
      </c>
      <c r="D35">
        <f>+Hoja1!J43</f>
        <v>17.178999999999998</v>
      </c>
      <c r="E35">
        <f>+Hoja1!L43</f>
        <v>326.40100000000001</v>
      </c>
    </row>
    <row r="36" spans="1:5" x14ac:dyDescent="0.25">
      <c r="A36" t="str">
        <f>CONCATENATE("V",Hoja1!C44)</f>
        <v>V11239070</v>
      </c>
      <c r="B36" t="str">
        <f>+Hoja1!B44</f>
        <v>GUEVARA  JOSE</v>
      </c>
      <c r="C36">
        <f>+Hoja1!H44</f>
        <v>136</v>
      </c>
      <c r="D36">
        <f>+Hoja1!J44</f>
        <v>6.8000000000000007</v>
      </c>
      <c r="E36">
        <f>+Hoja1!L44</f>
        <v>129.19999999999999</v>
      </c>
    </row>
    <row r="37" spans="1:5" x14ac:dyDescent="0.25">
      <c r="A37" t="str">
        <f>CONCATENATE("V",Hoja1!C45)</f>
        <v>V1239070</v>
      </c>
      <c r="B37" t="str">
        <f>+Hoja1!B45</f>
        <v>GUEVARA  JOSE</v>
      </c>
      <c r="C37">
        <f>+Hoja1!H45</f>
        <v>176.92</v>
      </c>
      <c r="D37">
        <f>+Hoja1!J45</f>
        <v>8.8460000000000001</v>
      </c>
      <c r="E37">
        <f>+Hoja1!L45</f>
        <v>168.07399999999998</v>
      </c>
    </row>
    <row r="38" spans="1:5" x14ac:dyDescent="0.25">
      <c r="A38" t="str">
        <f>CONCATENATE("V",Hoja1!C46)</f>
        <v>V7415285</v>
      </c>
      <c r="B38" t="str">
        <f>+Hoja1!B46</f>
        <v>HERNANDEZ  CARLOS</v>
      </c>
      <c r="C38">
        <f>+Hoja1!H46</f>
        <v>89.4</v>
      </c>
      <c r="D38">
        <f>+Hoja1!J46</f>
        <v>4.4700000000000006</v>
      </c>
      <c r="E38">
        <f>+Hoja1!L46</f>
        <v>84.93</v>
      </c>
    </row>
    <row r="39" spans="1:5" x14ac:dyDescent="0.25">
      <c r="A39" t="str">
        <f>CONCATENATE("V",Hoja1!C47)</f>
        <v>V4739796</v>
      </c>
      <c r="B39" t="str">
        <f>+Hoja1!B47</f>
        <v>HUGGINS ALVES</v>
      </c>
      <c r="C39">
        <f>+Hoja1!H47</f>
        <v>44.05</v>
      </c>
      <c r="D39">
        <f>+Hoja1!J47</f>
        <v>2.2025000000000001</v>
      </c>
      <c r="E39">
        <f>+Hoja1!L47</f>
        <v>41.847499999999997</v>
      </c>
    </row>
    <row r="40" spans="1:5" x14ac:dyDescent="0.25">
      <c r="A40" t="str">
        <f>CONCATENATE("V",Hoja1!C48)</f>
        <v>V7447992</v>
      </c>
      <c r="B40" t="str">
        <f>+Hoja1!B48</f>
        <v>ISAZA BERTHA</v>
      </c>
      <c r="C40">
        <f>+Hoja1!H48</f>
        <v>248.06</v>
      </c>
      <c r="D40">
        <f>+Hoja1!J48</f>
        <v>12.403</v>
      </c>
      <c r="E40">
        <f>+Hoja1!L48</f>
        <v>235.65700000000001</v>
      </c>
    </row>
    <row r="41" spans="1:5" x14ac:dyDescent="0.25">
      <c r="A41" t="str">
        <f>CONCATENATE("V",Hoja1!C49)</f>
        <v>V4731494</v>
      </c>
      <c r="B41" t="str">
        <f>+Hoja1!B49</f>
        <v>JIMENEZ EDGAR SOLANO</v>
      </c>
      <c r="C41">
        <f>+Hoja1!H49</f>
        <v>170.85</v>
      </c>
      <c r="D41">
        <f>+Hoja1!J49</f>
        <v>8.5425000000000004</v>
      </c>
      <c r="E41">
        <f>+Hoja1!L49</f>
        <v>162.3075</v>
      </c>
    </row>
    <row r="42" spans="1:5" x14ac:dyDescent="0.25">
      <c r="A42" t="str">
        <f>CONCATENATE("V",Hoja1!C50)</f>
        <v>V13643982</v>
      </c>
      <c r="B42" t="str">
        <f>+Hoja1!B50</f>
        <v>LEON VELASQUEZ LEIDY</v>
      </c>
      <c r="C42">
        <f>+Hoja1!H50</f>
        <v>1240.5899999999999</v>
      </c>
      <c r="D42">
        <f>+Hoja1!J50</f>
        <v>62.029499999999999</v>
      </c>
      <c r="E42">
        <f>+Hoja1!L50</f>
        <v>1178.5604999999998</v>
      </c>
    </row>
    <row r="43" spans="1:5" x14ac:dyDescent="0.25">
      <c r="A43" t="str">
        <f>CONCATENATE("V",Hoja1!C51)</f>
        <v>V7401853</v>
      </c>
      <c r="B43" t="str">
        <f>+Hoja1!B51</f>
        <v>LOPEZ ANA</v>
      </c>
      <c r="C43">
        <f>+Hoja1!H51</f>
        <v>127.34</v>
      </c>
      <c r="D43">
        <f>+Hoja1!J51</f>
        <v>6.3670000000000009</v>
      </c>
      <c r="E43">
        <f>+Hoja1!L51</f>
        <v>120.973</v>
      </c>
    </row>
    <row r="44" spans="1:5" x14ac:dyDescent="0.25">
      <c r="A44" t="str">
        <f>CONCATENATE("V",Hoja1!C52)</f>
        <v>V11429792</v>
      </c>
      <c r="B44" t="str">
        <f>+Hoja1!B52</f>
        <v>MADRIZ  GIOVANNY</v>
      </c>
      <c r="C44">
        <f>+Hoja1!H52</f>
        <v>508.8</v>
      </c>
      <c r="D44">
        <f>+Hoja1!J52</f>
        <v>25.44</v>
      </c>
      <c r="E44">
        <f>+Hoja1!L52</f>
        <v>483.36</v>
      </c>
    </row>
    <row r="45" spans="1:5" x14ac:dyDescent="0.25">
      <c r="A45" t="str">
        <f>CONCATENATE("V",Hoja1!C53)</f>
        <v>V11883300</v>
      </c>
      <c r="B45" t="str">
        <f>+Hoja1!B53</f>
        <v>MARIN C. ANTONIO</v>
      </c>
      <c r="C45">
        <f>+Hoja1!H53</f>
        <v>487.72</v>
      </c>
      <c r="D45">
        <f>+Hoja1!J53</f>
        <v>24.386000000000003</v>
      </c>
      <c r="E45">
        <f>+Hoja1!L53</f>
        <v>463.334</v>
      </c>
    </row>
    <row r="46" spans="1:5" x14ac:dyDescent="0.25">
      <c r="A46" t="str">
        <f>CONCATENATE("V",Hoja1!C54)</f>
        <v>V2608304</v>
      </c>
      <c r="B46" t="str">
        <f>+Hoja1!B54</f>
        <v>MARQUEZ CARMEN</v>
      </c>
      <c r="C46">
        <f>+Hoja1!H54</f>
        <v>407.34</v>
      </c>
      <c r="D46">
        <f>+Hoja1!J54</f>
        <v>20.367000000000001</v>
      </c>
      <c r="E46">
        <f>+Hoja1!L54</f>
        <v>386.97299999999996</v>
      </c>
    </row>
    <row r="47" spans="1:5" x14ac:dyDescent="0.25">
      <c r="A47" t="str">
        <f>CONCATENATE("V",Hoja1!C55)</f>
        <v>V2608304</v>
      </c>
      <c r="B47" t="str">
        <f>+Hoja1!B55</f>
        <v>MARQUEZ CARMEN</v>
      </c>
      <c r="C47">
        <f>+Hoja1!H55</f>
        <v>536.35</v>
      </c>
      <c r="D47">
        <f>+Hoja1!J55</f>
        <v>26.817500000000003</v>
      </c>
      <c r="E47">
        <f>+Hoja1!L55</f>
        <v>509.53250000000003</v>
      </c>
    </row>
    <row r="48" spans="1:5" x14ac:dyDescent="0.25">
      <c r="A48" t="str">
        <f>CONCATENATE("V",Hoja1!C56)</f>
        <v>V5248954</v>
      </c>
      <c r="B48" t="str">
        <f>+Hoja1!B56</f>
        <v>MARTINEZ JOSE</v>
      </c>
      <c r="C48">
        <f>+Hoja1!H56</f>
        <v>298.85000000000002</v>
      </c>
      <c r="D48">
        <f>+Hoja1!J56</f>
        <v>14.942500000000003</v>
      </c>
      <c r="E48">
        <f>+Hoja1!L56</f>
        <v>283.90750000000003</v>
      </c>
    </row>
    <row r="49" spans="1:5" x14ac:dyDescent="0.25">
      <c r="A49" t="str">
        <f>CONCATENATE("V",Hoja1!C57)</f>
        <v>V9617493</v>
      </c>
      <c r="B49" t="str">
        <f>+Hoja1!B57</f>
        <v>MENDEZ MARLENE</v>
      </c>
      <c r="C49">
        <f>+Hoja1!H57</f>
        <v>48.27</v>
      </c>
      <c r="D49">
        <f>+Hoja1!J57</f>
        <v>2.4135000000000004</v>
      </c>
      <c r="E49">
        <f>+Hoja1!L57</f>
        <v>45.856500000000004</v>
      </c>
    </row>
    <row r="50" spans="1:5" x14ac:dyDescent="0.25">
      <c r="A50" t="str">
        <f>CONCATENATE("V",Hoja1!C58)</f>
        <v>V5257774</v>
      </c>
      <c r="B50" t="str">
        <f>+Hoja1!B58</f>
        <v>MENDOZA  JORGE</v>
      </c>
      <c r="C50">
        <f>+Hoja1!H58</f>
        <v>569.6</v>
      </c>
      <c r="D50">
        <f>+Hoja1!J58</f>
        <v>28.480000000000004</v>
      </c>
      <c r="E50">
        <f>+Hoja1!L58</f>
        <v>541.12</v>
      </c>
    </row>
    <row r="51" spans="1:5" x14ac:dyDescent="0.25">
      <c r="A51" t="str">
        <f>CONCATENATE("V",Hoja1!C59)</f>
        <v>V7419340</v>
      </c>
      <c r="B51" t="str">
        <f>+Hoja1!B59</f>
        <v>ORELLANA B. WILLIAM</v>
      </c>
      <c r="C51">
        <f>+Hoja1!H59</f>
        <v>543.65</v>
      </c>
      <c r="D51">
        <f>+Hoja1!J59</f>
        <v>27.182500000000001</v>
      </c>
      <c r="E51">
        <f>+Hoja1!L59</f>
        <v>516.46749999999997</v>
      </c>
    </row>
    <row r="52" spans="1:5" x14ac:dyDescent="0.25">
      <c r="A52" t="str">
        <f>CONCATENATE("V",Hoja1!C60)</f>
        <v>V4728331</v>
      </c>
      <c r="B52" t="str">
        <f>+Hoja1!B60</f>
        <v>OVIEDO  JOSE</v>
      </c>
      <c r="C52">
        <f>+Hoja1!H60</f>
        <v>288</v>
      </c>
      <c r="D52">
        <f>+Hoja1!J60</f>
        <v>14.4</v>
      </c>
      <c r="E52">
        <f>+Hoja1!L60</f>
        <v>273.60000000000002</v>
      </c>
    </row>
    <row r="53" spans="1:5" x14ac:dyDescent="0.25">
      <c r="A53" t="str">
        <f>CONCATENATE("V",Hoja1!C61)</f>
        <v>V11262378</v>
      </c>
      <c r="B53" t="str">
        <f>+Hoja1!B61</f>
        <v>PAEZ NEIDA NOHEMY</v>
      </c>
      <c r="C53">
        <f>+Hoja1!H61</f>
        <v>328</v>
      </c>
      <c r="D53">
        <f>+Hoja1!J61</f>
        <v>0</v>
      </c>
      <c r="E53">
        <f>+Hoja1!L61</f>
        <v>328</v>
      </c>
    </row>
    <row r="54" spans="1:5" x14ac:dyDescent="0.25">
      <c r="A54" t="str">
        <f>CONCATENATE("V",Hoja1!C62)</f>
        <v>V12279667</v>
      </c>
      <c r="B54" t="str">
        <f>+Hoja1!B62</f>
        <v>PARADA CORNELIO</v>
      </c>
      <c r="C54">
        <f>+Hoja1!H62</f>
        <v>386.99</v>
      </c>
      <c r="D54">
        <f>+Hoja1!J62</f>
        <v>19.349500000000003</v>
      </c>
      <c r="E54">
        <f>+Hoja1!L62</f>
        <v>367.64050000000003</v>
      </c>
    </row>
    <row r="55" spans="1:5" x14ac:dyDescent="0.25">
      <c r="A55" t="str">
        <f>CONCATENATE("V",Hoja1!C63)</f>
        <v>V12027260</v>
      </c>
      <c r="B55" t="str">
        <f>+Hoja1!B63</f>
        <v>PERDOMO  OMAIRA</v>
      </c>
      <c r="C55">
        <f>+Hoja1!H63</f>
        <v>447.34</v>
      </c>
      <c r="D55">
        <f>+Hoja1!J63</f>
        <v>22.367000000000001</v>
      </c>
      <c r="E55">
        <f>+Hoja1!L63</f>
        <v>424.97299999999996</v>
      </c>
    </row>
    <row r="56" spans="1:5" x14ac:dyDescent="0.25">
      <c r="A56" t="str">
        <f>CONCATENATE("V",Hoja1!C64)</f>
        <v>V12027260</v>
      </c>
      <c r="B56" t="str">
        <f>+Hoja1!B64</f>
        <v>PERDOMO  OMAIRA</v>
      </c>
      <c r="C56">
        <f>+Hoja1!H64</f>
        <v>18.350000000000001</v>
      </c>
      <c r="D56">
        <f>+Hoja1!J64</f>
        <v>0</v>
      </c>
      <c r="E56">
        <f>+Hoja1!L64</f>
        <v>18.350000000000001</v>
      </c>
    </row>
    <row r="57" spans="1:5" x14ac:dyDescent="0.25">
      <c r="A57" t="str">
        <f>CONCATENATE("V",Hoja1!C65)</f>
        <v>V9560453</v>
      </c>
      <c r="B57" t="str">
        <f>+Hoja1!B65</f>
        <v>PEREZ  NUBIA</v>
      </c>
      <c r="C57">
        <f>+Hoja1!H65</f>
        <v>569.6</v>
      </c>
      <c r="D57">
        <f>+Hoja1!J65</f>
        <v>28.480000000000004</v>
      </c>
      <c r="E57">
        <f>+Hoja1!L65</f>
        <v>541.12</v>
      </c>
    </row>
    <row r="58" spans="1:5" x14ac:dyDescent="0.25">
      <c r="A58" t="str">
        <f>CONCATENATE("V",Hoja1!C66)</f>
        <v>V11598207</v>
      </c>
      <c r="B58" t="str">
        <f>+Hoja1!B66</f>
        <v>PEREZ  ROLANDO</v>
      </c>
      <c r="C58">
        <f>+Hoja1!H66</f>
        <v>210.45</v>
      </c>
      <c r="D58">
        <f>+Hoja1!J66</f>
        <v>10.522500000000001</v>
      </c>
      <c r="E58">
        <f>+Hoja1!L66</f>
        <v>199.92749999999998</v>
      </c>
    </row>
    <row r="59" spans="1:5" x14ac:dyDescent="0.25">
      <c r="A59" t="str">
        <f>CONCATENATE("V",Hoja1!C67)</f>
        <v>V11783201</v>
      </c>
      <c r="B59" t="str">
        <f>+Hoja1!B67</f>
        <v>PEREZ ALEXANDER</v>
      </c>
      <c r="C59">
        <f>+Hoja1!H67</f>
        <v>304.8</v>
      </c>
      <c r="D59">
        <f>+Hoja1!J67</f>
        <v>15.240000000000002</v>
      </c>
      <c r="E59">
        <f>+Hoja1!L67</f>
        <v>289.56</v>
      </c>
    </row>
    <row r="60" spans="1:5" x14ac:dyDescent="0.25">
      <c r="A60" t="str">
        <f>CONCATENATE("V",Hoja1!C68)</f>
        <v>V11783201</v>
      </c>
      <c r="B60" t="str">
        <f>+Hoja1!B68</f>
        <v>PEREZ ALEXANDER</v>
      </c>
      <c r="C60">
        <f>+Hoja1!H68</f>
        <v>232</v>
      </c>
      <c r="D60">
        <f>+Hoja1!J68</f>
        <v>11.600000000000001</v>
      </c>
      <c r="E60">
        <f>+Hoja1!L68</f>
        <v>220.4</v>
      </c>
    </row>
    <row r="61" spans="1:5" x14ac:dyDescent="0.25">
      <c r="A61" t="str">
        <f>CONCATENATE("V",Hoja1!C69)</f>
        <v>V7387547</v>
      </c>
      <c r="B61" t="str">
        <f>+Hoja1!B69</f>
        <v>PEROZO GREGORIO</v>
      </c>
      <c r="C61">
        <f>+Hoja1!H69</f>
        <v>265.60000000000002</v>
      </c>
      <c r="D61">
        <f>+Hoja1!J69</f>
        <v>13.280000000000001</v>
      </c>
      <c r="E61">
        <f>+Hoja1!L69</f>
        <v>252.32000000000002</v>
      </c>
    </row>
    <row r="62" spans="1:5" x14ac:dyDescent="0.25">
      <c r="A62" t="str">
        <f>CONCATENATE("V",Hoja1!C70)</f>
        <v>V12698965</v>
      </c>
      <c r="B62" t="str">
        <f>+Hoja1!B70</f>
        <v>PIÑA  DAISY</v>
      </c>
      <c r="C62">
        <f>+Hoja1!H70</f>
        <v>112</v>
      </c>
      <c r="D62">
        <f>+Hoja1!J70</f>
        <v>5.6000000000000005</v>
      </c>
      <c r="E62">
        <f>+Hoja1!L70</f>
        <v>106.4</v>
      </c>
    </row>
    <row r="63" spans="1:5" x14ac:dyDescent="0.25">
      <c r="A63" t="str">
        <f>CONCATENATE("V",Hoja1!C71)</f>
        <v>V12536172</v>
      </c>
      <c r="B63" t="str">
        <f>+Hoja1!B71</f>
        <v>RIVAS BARRETO JOSE</v>
      </c>
      <c r="C63">
        <f>+Hoja1!H71</f>
        <v>358.04</v>
      </c>
      <c r="D63">
        <f>+Hoja1!J71</f>
        <v>17.902000000000001</v>
      </c>
      <c r="E63">
        <f>+Hoja1!L71</f>
        <v>340.13800000000003</v>
      </c>
    </row>
    <row r="64" spans="1:5" x14ac:dyDescent="0.25">
      <c r="A64" t="str">
        <f>CONCATENATE("V",Hoja1!C72)</f>
        <v>V3710064</v>
      </c>
      <c r="B64" t="str">
        <f>+Hoja1!B72</f>
        <v>RIVERO  FREDDY</v>
      </c>
      <c r="C64">
        <f>+Hoja1!H72</f>
        <v>365.6</v>
      </c>
      <c r="D64">
        <f>+Hoja1!J72</f>
        <v>18.28</v>
      </c>
      <c r="E64">
        <f>+Hoja1!L72</f>
        <v>347.32000000000005</v>
      </c>
    </row>
    <row r="65" spans="1:5" x14ac:dyDescent="0.25">
      <c r="A65" t="str">
        <f>CONCATENATE("V",Hoja1!C73)</f>
        <v>V5605414</v>
      </c>
      <c r="B65" t="str">
        <f>+Hoja1!B73</f>
        <v>RIVERO JOSE</v>
      </c>
      <c r="C65">
        <f>+Hoja1!H73</f>
        <v>569.6</v>
      </c>
      <c r="D65">
        <f>+Hoja1!J73</f>
        <v>28.480000000000004</v>
      </c>
      <c r="E65">
        <f>+Hoja1!L73</f>
        <v>541.12</v>
      </c>
    </row>
    <row r="66" spans="1:5" x14ac:dyDescent="0.25">
      <c r="A66" t="str">
        <f>CONCATENATE("V",Hoja1!C74)</f>
        <v>V7436077</v>
      </c>
      <c r="B66" t="str">
        <f>+Hoja1!B74</f>
        <v>RODRIGUEZ  EVELIO</v>
      </c>
      <c r="C66">
        <f>+Hoja1!H74</f>
        <v>114.4</v>
      </c>
      <c r="D66">
        <f>+Hoja1!J74</f>
        <v>5.7200000000000006</v>
      </c>
      <c r="E66">
        <f>+Hoja1!L74</f>
        <v>108.68</v>
      </c>
    </row>
    <row r="67" spans="1:5" x14ac:dyDescent="0.25">
      <c r="A67" t="str">
        <f>CONCATENATE("V",Hoja1!C75)</f>
        <v>V7373089</v>
      </c>
      <c r="B67" t="str">
        <f>+Hoja1!B75</f>
        <v xml:space="preserve">SALAS FELIX </v>
      </c>
      <c r="C67">
        <f>+Hoja1!H75</f>
        <v>321.60000000000002</v>
      </c>
      <c r="D67">
        <f>+Hoja1!J75</f>
        <v>16.080000000000002</v>
      </c>
      <c r="E67">
        <f>+Hoja1!L75</f>
        <v>305.52000000000004</v>
      </c>
    </row>
    <row r="68" spans="1:5" x14ac:dyDescent="0.25">
      <c r="A68" t="str">
        <f>CONCATENATE("V",Hoja1!C76)</f>
        <v>V1112379</v>
      </c>
      <c r="B68" t="str">
        <f>+Hoja1!B76</f>
        <v>SANCHEZ  JUAN</v>
      </c>
      <c r="C68">
        <f>+Hoja1!H76</f>
        <v>569.6</v>
      </c>
      <c r="D68">
        <f>+Hoja1!J76</f>
        <v>28.480000000000004</v>
      </c>
      <c r="E68">
        <f>+Hoja1!L76</f>
        <v>541.12</v>
      </c>
    </row>
    <row r="69" spans="1:5" x14ac:dyDescent="0.25">
      <c r="A69" t="str">
        <f>CONCATENATE("V",Hoja1!C77)</f>
        <v>V4071241</v>
      </c>
      <c r="B69" t="str">
        <f>+Hoja1!B77</f>
        <v>SANCHEZ  MARLENE</v>
      </c>
      <c r="C69">
        <f>+Hoja1!H77</f>
        <v>343.75</v>
      </c>
      <c r="D69">
        <f>+Hoja1!J77</f>
        <v>17.1875</v>
      </c>
      <c r="E69">
        <f>+Hoja1!L77</f>
        <v>326.5625</v>
      </c>
    </row>
    <row r="70" spans="1:5" x14ac:dyDescent="0.25">
      <c r="A70" t="str">
        <f>CONCATENATE("V",Hoja1!C78)</f>
        <v>V7354064</v>
      </c>
      <c r="B70" t="str">
        <f>+Hoja1!B78</f>
        <v>SANCHEZ FRANCIA</v>
      </c>
      <c r="C70">
        <f>+Hoja1!H78</f>
        <v>689.6</v>
      </c>
      <c r="D70">
        <f>+Hoja1!J78</f>
        <v>34.480000000000004</v>
      </c>
      <c r="E70">
        <f>+Hoja1!L78</f>
        <v>655.12</v>
      </c>
    </row>
    <row r="71" spans="1:5" x14ac:dyDescent="0.25">
      <c r="A71" t="str">
        <f>CONCATENATE("V",Hoja1!C79)</f>
        <v>V11879419</v>
      </c>
      <c r="B71" t="str">
        <f>+Hoja1!B79</f>
        <v>SILVA GARCIA RAFAEL</v>
      </c>
      <c r="C71">
        <f>+Hoja1!H79</f>
        <v>326.39999999999998</v>
      </c>
      <c r="D71">
        <f>+Hoja1!J79</f>
        <v>16.32</v>
      </c>
      <c r="E71">
        <f>+Hoja1!L79</f>
        <v>310.08</v>
      </c>
    </row>
    <row r="72" spans="1:5" x14ac:dyDescent="0.25">
      <c r="A72" t="str">
        <f>CONCATENATE("V",Hoja1!C80)</f>
        <v>V11879419</v>
      </c>
      <c r="B72" t="str">
        <f>+Hoja1!B80</f>
        <v>SILVA GARCIA RAFAEL</v>
      </c>
      <c r="C72">
        <f>+Hoja1!H80</f>
        <v>69.08</v>
      </c>
      <c r="D72">
        <f>+Hoja1!J80</f>
        <v>0</v>
      </c>
      <c r="E72">
        <f>+Hoja1!L80</f>
        <v>69.08</v>
      </c>
    </row>
    <row r="73" spans="1:5" x14ac:dyDescent="0.25">
      <c r="A73" t="str">
        <f>CONCATENATE("V",Hoja1!C81)</f>
        <v>V5255641</v>
      </c>
      <c r="B73" t="str">
        <f>+Hoja1!B81</f>
        <v>SOTO EDUARDO</v>
      </c>
      <c r="C73">
        <f>+Hoja1!H81</f>
        <v>504</v>
      </c>
      <c r="D73">
        <f>+Hoja1!J81</f>
        <v>25.200000000000003</v>
      </c>
      <c r="E73">
        <f>+Hoja1!L81</f>
        <v>478.8</v>
      </c>
    </row>
    <row r="74" spans="1:5" x14ac:dyDescent="0.25">
      <c r="A74" t="str">
        <f>CONCATENATE("V",Hoja1!C82)</f>
        <v>V11425449</v>
      </c>
      <c r="B74" t="str">
        <f>+Hoja1!B82</f>
        <v>SUAREZ CASTILLO WINS</v>
      </c>
      <c r="C74">
        <f>+Hoja1!H82</f>
        <v>175.2</v>
      </c>
      <c r="D74">
        <f>+Hoja1!J82</f>
        <v>8.76</v>
      </c>
      <c r="E74">
        <f>+Hoja1!L82</f>
        <v>166.44</v>
      </c>
    </row>
    <row r="75" spans="1:5" x14ac:dyDescent="0.25">
      <c r="A75" t="str">
        <f>CONCATENATE("V",Hoja1!C83)</f>
        <v>V13265946</v>
      </c>
      <c r="B75" t="str">
        <f>+Hoja1!B83</f>
        <v>SUAREZ MARTINEZ ALEX</v>
      </c>
      <c r="C75">
        <f>+Hoja1!H83</f>
        <v>287.58</v>
      </c>
      <c r="D75">
        <f>+Hoja1!J83</f>
        <v>14.379</v>
      </c>
      <c r="E75">
        <f>+Hoja1!L83</f>
        <v>273.20099999999996</v>
      </c>
    </row>
    <row r="76" spans="1:5" x14ac:dyDescent="0.25">
      <c r="A76" t="str">
        <f>CONCATENATE("V",Hoja1!C84)</f>
        <v>V15729536</v>
      </c>
      <c r="B76" t="str">
        <f>+Hoja1!B84</f>
        <v>VALECILLOS GIAN CARL</v>
      </c>
      <c r="C76">
        <f>+Hoja1!H84</f>
        <v>136.80000000000001</v>
      </c>
      <c r="D76">
        <f>+Hoja1!J84</f>
        <v>6.8400000000000007</v>
      </c>
      <c r="E76">
        <f>+Hoja1!L84</f>
        <v>129.96</v>
      </c>
    </row>
    <row r="77" spans="1:5" x14ac:dyDescent="0.25">
      <c r="A77" t="str">
        <f>CONCATENATE("V",Hoja1!C85)</f>
        <v>V7392153</v>
      </c>
      <c r="B77" t="str">
        <f>+Hoja1!B85</f>
        <v>VALLES  ORLANDO</v>
      </c>
      <c r="C77">
        <f>+Hoja1!H85</f>
        <v>120.06</v>
      </c>
      <c r="D77">
        <f>+Hoja1!J85</f>
        <v>6.0030000000000001</v>
      </c>
      <c r="E77">
        <f>+Hoja1!L85</f>
        <v>114.057</v>
      </c>
    </row>
    <row r="78" spans="1:5" x14ac:dyDescent="0.25">
      <c r="A78" t="str">
        <f>CONCATENATE("V",Hoja1!C86)</f>
        <v>V13510180</v>
      </c>
      <c r="B78" t="str">
        <f>+Hoja1!B86</f>
        <v>VASQUEZ JHONNYS</v>
      </c>
      <c r="C78">
        <f>+Hoja1!H86</f>
        <v>218.76</v>
      </c>
      <c r="D78">
        <f>+Hoja1!J86</f>
        <v>10.938000000000001</v>
      </c>
      <c r="E78">
        <f>+Hoja1!L86</f>
        <v>207.822</v>
      </c>
    </row>
    <row r="79" spans="1:5" x14ac:dyDescent="0.25">
      <c r="A79" t="str">
        <f>CONCATENATE("V",Hoja1!C87)</f>
        <v>V9542237</v>
      </c>
      <c r="B79" t="str">
        <f>+Hoja1!B87</f>
        <v>VASQUEZ RAMON</v>
      </c>
      <c r="C79">
        <f>+Hoja1!H87</f>
        <v>351.2</v>
      </c>
      <c r="D79">
        <f>+Hoja1!J87</f>
        <v>17.559999999999999</v>
      </c>
      <c r="E79">
        <f>+Hoja1!L87</f>
        <v>333.64</v>
      </c>
    </row>
    <row r="80" spans="1:5" x14ac:dyDescent="0.25">
      <c r="A80" t="str">
        <f>CONCATENATE("V",Hoja1!C88)</f>
        <v>V9542237</v>
      </c>
      <c r="B80" t="str">
        <f>+Hoja1!B88</f>
        <v>VASQUEZ RAMON</v>
      </c>
      <c r="C80">
        <f>+Hoja1!H88</f>
        <v>48</v>
      </c>
      <c r="D80">
        <f>+Hoja1!J88</f>
        <v>0</v>
      </c>
      <c r="E80">
        <f>+Hoja1!L88</f>
        <v>48</v>
      </c>
    </row>
    <row r="81" spans="1:5" x14ac:dyDescent="0.25">
      <c r="A81" t="str">
        <f>CONCATENATE("V",Hoja1!C89)</f>
        <v>V16137706</v>
      </c>
      <c r="B81" t="str">
        <f>+Hoja1!B89</f>
        <v>VASQUEZ U. EDIXON</v>
      </c>
      <c r="C81">
        <f>+Hoja1!H89</f>
        <v>92.77</v>
      </c>
      <c r="D81">
        <f>+Hoja1!J89</f>
        <v>0</v>
      </c>
      <c r="E81">
        <f>+Hoja1!L89</f>
        <v>92.77</v>
      </c>
    </row>
    <row r="82" spans="1:5" x14ac:dyDescent="0.25">
      <c r="A82" t="str">
        <f>CONCATENATE("V",Hoja1!C90)</f>
        <v>V12249178</v>
      </c>
      <c r="B82" t="str">
        <f>+Hoja1!B90</f>
        <v>VIRGUEZ DARWIN</v>
      </c>
      <c r="C82">
        <f>+Hoja1!H90</f>
        <v>284.39999999999998</v>
      </c>
      <c r="D82">
        <f>+Hoja1!J90</f>
        <v>14.219999999999999</v>
      </c>
      <c r="E82">
        <f>+Hoja1!L90</f>
        <v>270.17999999999995</v>
      </c>
    </row>
    <row r="83" spans="1:5" x14ac:dyDescent="0.25">
      <c r="A83" t="str">
        <f>CONCATENATE("V",Hoja1!C91)</f>
        <v>V7449457</v>
      </c>
      <c r="B83" t="str">
        <f>+Hoja1!B91</f>
        <v>VISCAYA PEDRO</v>
      </c>
      <c r="C83">
        <f>+Hoja1!H91</f>
        <v>174.4</v>
      </c>
      <c r="D83">
        <f>+Hoja1!J91</f>
        <v>8.7200000000000006</v>
      </c>
      <c r="E83">
        <f>+Hoja1!L91</f>
        <v>165.68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desarrollo</cp:lastModifiedBy>
  <dcterms:created xsi:type="dcterms:W3CDTF">2013-02-06T16:43:07Z</dcterms:created>
  <dcterms:modified xsi:type="dcterms:W3CDTF">2013-02-08T15:56:58Z</dcterms:modified>
</cp:coreProperties>
</file>