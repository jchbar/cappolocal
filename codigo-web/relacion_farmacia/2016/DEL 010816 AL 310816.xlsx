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APPO UCLA\"/>
    </mc:Choice>
  </mc:AlternateContent>
  <bookViews>
    <workbookView xWindow="120" yWindow="165" windowWidth="15135" windowHeight="8010"/>
  </bookViews>
  <sheets>
    <sheet name="CAPPO" sheetId="1" r:id="rId1"/>
    <sheet name="Hoja1" sheetId="2" r:id="rId2"/>
  </sheets>
  <calcPr calcId="152511"/>
</workbook>
</file>

<file path=xl/calcChain.xml><?xml version="1.0" encoding="utf-8"?>
<calcChain xmlns="http://schemas.openxmlformats.org/spreadsheetml/2006/main">
  <c r="E154" i="1" l="1"/>
  <c r="G154" i="1"/>
  <c r="H82" i="1" l="1"/>
  <c r="K82" i="1"/>
  <c r="H93" i="1"/>
  <c r="K93" i="1"/>
  <c r="H77" i="1"/>
  <c r="K77" i="1"/>
  <c r="H76" i="1"/>
  <c r="K76" i="1"/>
  <c r="H75" i="1"/>
  <c r="K75" i="1"/>
  <c r="H74" i="1"/>
  <c r="K74" i="1"/>
  <c r="H85" i="1"/>
  <c r="K85" i="1"/>
  <c r="H98" i="1"/>
  <c r="K98" i="1"/>
  <c r="H119" i="1"/>
  <c r="K119" i="1"/>
  <c r="H61" i="1"/>
  <c r="K61" i="1"/>
  <c r="H153" i="1"/>
  <c r="K153" i="1"/>
  <c r="H152" i="1"/>
  <c r="K152" i="1"/>
  <c r="H151" i="1" l="1"/>
  <c r="K151" i="1"/>
  <c r="H150" i="1"/>
  <c r="K150" i="1"/>
  <c r="H149" i="1"/>
  <c r="K149" i="1"/>
  <c r="H148" i="1"/>
  <c r="K148" i="1"/>
  <c r="K30" i="1"/>
  <c r="H30" i="1"/>
  <c r="H52" i="1"/>
  <c r="K52" i="1"/>
  <c r="H70" i="1"/>
  <c r="K70" i="1"/>
  <c r="H92" i="1"/>
  <c r="K92" i="1"/>
  <c r="H147" i="1"/>
  <c r="K147" i="1"/>
  <c r="H146" i="1"/>
  <c r="K146" i="1"/>
  <c r="H145" i="1"/>
  <c r="K145" i="1"/>
  <c r="H144" i="1"/>
  <c r="K144" i="1"/>
  <c r="H143" i="1"/>
  <c r="K143" i="1"/>
  <c r="H142" i="1"/>
  <c r="K142" i="1"/>
  <c r="H141" i="1"/>
  <c r="K141" i="1"/>
  <c r="H140" i="1"/>
  <c r="K140" i="1"/>
  <c r="H139" i="1"/>
  <c r="K139" i="1"/>
  <c r="H138" i="1"/>
  <c r="K138" i="1"/>
  <c r="H137" i="1"/>
  <c r="K137" i="1"/>
  <c r="H136" i="1"/>
  <c r="K136" i="1"/>
  <c r="H135" i="1"/>
  <c r="K135" i="1"/>
  <c r="H134" i="1"/>
  <c r="K134" i="1"/>
  <c r="H133" i="1"/>
  <c r="K133" i="1"/>
  <c r="H132" i="1"/>
  <c r="K132" i="1"/>
  <c r="H131" i="1"/>
  <c r="K131" i="1"/>
  <c r="H130" i="1"/>
  <c r="K130" i="1"/>
  <c r="H129" i="1"/>
  <c r="K129" i="1"/>
  <c r="H128" i="1"/>
  <c r="K128" i="1"/>
  <c r="H127" i="1"/>
  <c r="K127" i="1"/>
  <c r="H126" i="1"/>
  <c r="K126" i="1"/>
  <c r="K125" i="1"/>
  <c r="H125" i="1"/>
  <c r="H124" i="1"/>
  <c r="K124" i="1"/>
  <c r="H123" i="1" l="1"/>
  <c r="K123" i="1"/>
  <c r="H122" i="1"/>
  <c r="K122" i="1"/>
  <c r="H121" i="1"/>
  <c r="K121" i="1"/>
  <c r="H120" i="1"/>
  <c r="K120" i="1"/>
  <c r="H118" i="1"/>
  <c r="K118" i="1"/>
  <c r="H117" i="1"/>
  <c r="K117" i="1"/>
  <c r="H116" i="1"/>
  <c r="K116" i="1"/>
  <c r="H115" i="1"/>
  <c r="K115" i="1"/>
  <c r="H114" i="1"/>
  <c r="K114" i="1"/>
  <c r="H113" i="1"/>
  <c r="K113" i="1"/>
  <c r="H112" i="1"/>
  <c r="K112" i="1"/>
  <c r="H111" i="1"/>
  <c r="K111" i="1"/>
  <c r="H110" i="1"/>
  <c r="K110" i="1"/>
  <c r="H109" i="1"/>
  <c r="K109" i="1"/>
  <c r="H108" i="1"/>
  <c r="K108" i="1"/>
  <c r="H107" i="1"/>
  <c r="K107" i="1"/>
  <c r="H106" i="1"/>
  <c r="K106" i="1"/>
  <c r="H105" i="1"/>
  <c r="K105" i="1"/>
  <c r="H104" i="1"/>
  <c r="K104" i="1"/>
  <c r="H103" i="1"/>
  <c r="K103" i="1"/>
  <c r="H102" i="1"/>
  <c r="K102" i="1"/>
  <c r="H101" i="1"/>
  <c r="K101" i="1"/>
  <c r="H100" i="1"/>
  <c r="K100" i="1"/>
  <c r="H99" i="1"/>
  <c r="K99" i="1"/>
  <c r="H97" i="1"/>
  <c r="K97" i="1"/>
  <c r="H96" i="1"/>
  <c r="K96" i="1"/>
  <c r="H95" i="1"/>
  <c r="K95" i="1"/>
  <c r="H94" i="1"/>
  <c r="K94" i="1"/>
  <c r="H91" i="1"/>
  <c r="K91" i="1"/>
  <c r="H90" i="1"/>
  <c r="K90" i="1"/>
  <c r="H89" i="1"/>
  <c r="K89" i="1"/>
  <c r="H88" i="1"/>
  <c r="K88" i="1"/>
  <c r="H87" i="1"/>
  <c r="K87" i="1"/>
  <c r="H59" i="1" l="1"/>
  <c r="K59" i="1"/>
  <c r="H58" i="1"/>
  <c r="H65" i="1"/>
  <c r="H64" i="1"/>
  <c r="H63" i="1"/>
  <c r="K35" i="1"/>
  <c r="H35" i="1"/>
  <c r="H44" i="1"/>
  <c r="H41" i="1"/>
  <c r="H45" i="1"/>
  <c r="H32" i="1"/>
  <c r="H33" i="1"/>
  <c r="H34" i="1"/>
  <c r="H36" i="1"/>
  <c r="H37" i="1"/>
  <c r="H38" i="1"/>
  <c r="H39" i="1"/>
  <c r="H40" i="1"/>
  <c r="H31" i="1"/>
  <c r="H26" i="1"/>
  <c r="H23" i="1"/>
  <c r="H22" i="1"/>
  <c r="H21" i="1"/>
  <c r="H15" i="1"/>
  <c r="H14" i="1"/>
  <c r="H29" i="1"/>
  <c r="K32" i="1"/>
  <c r="H42" i="1"/>
  <c r="H43" i="1"/>
  <c r="K23" i="1"/>
  <c r="H24" i="1"/>
  <c r="K14" i="1"/>
  <c r="H20" i="1"/>
  <c r="K15" i="1"/>
  <c r="K16" i="1"/>
  <c r="K17" i="1"/>
  <c r="K18" i="1"/>
  <c r="H16" i="1"/>
  <c r="H17" i="1"/>
  <c r="H18" i="1"/>
  <c r="H12" i="1"/>
  <c r="H13" i="1"/>
  <c r="H19" i="1"/>
  <c r="H25" i="1"/>
  <c r="H27" i="1"/>
  <c r="H28" i="1"/>
  <c r="H46" i="1"/>
  <c r="H47" i="1"/>
  <c r="H48" i="1"/>
  <c r="H49" i="1"/>
  <c r="H50" i="1"/>
  <c r="H51" i="1"/>
  <c r="H53" i="1"/>
  <c r="H54" i="1"/>
  <c r="H55" i="1"/>
  <c r="H56" i="1"/>
  <c r="H57" i="1"/>
  <c r="H60" i="1"/>
  <c r="H62" i="1"/>
  <c r="H66" i="1"/>
  <c r="H67" i="1"/>
  <c r="H68" i="1"/>
  <c r="H69" i="1"/>
  <c r="H71" i="1"/>
  <c r="H72" i="1"/>
  <c r="H73" i="1"/>
  <c r="H78" i="1"/>
  <c r="H79" i="1"/>
  <c r="H80" i="1"/>
  <c r="H81" i="1"/>
  <c r="H83" i="1"/>
  <c r="H84" i="1"/>
  <c r="H86" i="1"/>
  <c r="H11" i="1"/>
  <c r="H154" i="1" s="1"/>
  <c r="J154" i="1" l="1"/>
  <c r="F154" i="1"/>
  <c r="K25" i="1" l="1"/>
  <c r="K26" i="1"/>
  <c r="K60" i="1"/>
  <c r="K62" i="1"/>
  <c r="K63" i="1"/>
  <c r="K64" i="1"/>
  <c r="K55" i="1"/>
  <c r="K44" i="1"/>
  <c r="K86" i="1"/>
  <c r="K66" i="1" l="1"/>
  <c r="K78" i="1"/>
  <c r="K42" i="1"/>
  <c r="K43" i="1"/>
  <c r="K37" i="1"/>
  <c r="K47" i="1"/>
  <c r="K48" i="1"/>
  <c r="K38" i="1"/>
  <c r="K39" i="1"/>
  <c r="K81" i="1"/>
  <c r="K83" i="1"/>
  <c r="K33" i="1"/>
  <c r="K79" i="1"/>
  <c r="K45" i="1"/>
  <c r="K19" i="1"/>
  <c r="K36" i="1"/>
  <c r="K67" i="1" l="1"/>
  <c r="K68" i="1"/>
  <c r="K13" i="1"/>
  <c r="K31" i="1"/>
  <c r="K73" i="1"/>
  <c r="K20" i="1"/>
  <c r="K69" i="1"/>
  <c r="K71" i="1"/>
  <c r="K72" i="1" l="1"/>
  <c r="K24" i="1"/>
  <c r="K56" i="1"/>
  <c r="K11" i="1"/>
  <c r="K28" i="1"/>
  <c r="K12" i="1"/>
  <c r="K49" i="1"/>
  <c r="K53" i="1"/>
  <c r="K54" i="1"/>
  <c r="K50" i="1"/>
  <c r="K29" i="1"/>
  <c r="K22" i="1"/>
  <c r="K40" i="1"/>
  <c r="K80" i="1"/>
  <c r="K41" i="1"/>
  <c r="K21" i="1"/>
  <c r="K58" i="1" l="1"/>
  <c r="K65" i="1"/>
  <c r="K84" i="1"/>
  <c r="K27" i="1"/>
  <c r="K154" i="1" s="1"/>
  <c r="K51" i="1"/>
  <c r="K46" i="1"/>
  <c r="K57" i="1"/>
</calcChain>
</file>

<file path=xl/sharedStrings.xml><?xml version="1.0" encoding="utf-8"?>
<sst xmlns="http://schemas.openxmlformats.org/spreadsheetml/2006/main" count="593" uniqueCount="394">
  <si>
    <t xml:space="preserve">FARMACIA UNIVERSIDAD </t>
  </si>
  <si>
    <t>C A P P O - U C L A</t>
  </si>
  <si>
    <t>Carrera 21 entre Calles 12 y 13 Nro 12-13 telef. 0251-2524973/2527081</t>
  </si>
  <si>
    <t>Relación de Cobranza</t>
  </si>
  <si>
    <t>Fecha</t>
  </si>
  <si>
    <t>Cédula</t>
  </si>
  <si>
    <t>Cod. Socio</t>
  </si>
  <si>
    <t>Factura</t>
  </si>
  <si>
    <t>Monto</t>
  </si>
  <si>
    <t>Dcto. Clte.</t>
  </si>
  <si>
    <t>Dcto. Cap.</t>
  </si>
  <si>
    <t>IVA</t>
  </si>
  <si>
    <t>Neto</t>
  </si>
  <si>
    <t>Elaborado Por:</t>
  </si>
  <si>
    <t xml:space="preserve">Recibido: (Firma y Sello) </t>
  </si>
  <si>
    <t>CAPPO-UCLA</t>
  </si>
  <si>
    <t xml:space="preserve"> CAPPO - UCLA</t>
  </si>
  <si>
    <t>Cliente</t>
  </si>
  <si>
    <t>Total Factura</t>
  </si>
  <si>
    <t>ALVARADO  RAMON</t>
  </si>
  <si>
    <t>CARMONA HORACIO</t>
  </si>
  <si>
    <t>GONZALEZ JORGE</t>
  </si>
  <si>
    <t>BARRIO B. PATRICIA</t>
  </si>
  <si>
    <t>CORDERO ROBERT</t>
  </si>
  <si>
    <t>FLORES JOSE</t>
  </si>
  <si>
    <t>10784623</t>
  </si>
  <si>
    <t>0114</t>
  </si>
  <si>
    <t>17104709</t>
  </si>
  <si>
    <t>0934</t>
  </si>
  <si>
    <t>0158</t>
  </si>
  <si>
    <t>07316607</t>
  </si>
  <si>
    <t>12849330</t>
  </si>
  <si>
    <t>0339</t>
  </si>
  <si>
    <t>13268000</t>
  </si>
  <si>
    <t>0525</t>
  </si>
  <si>
    <t>11267811</t>
  </si>
  <si>
    <t>09547148</t>
  </si>
  <si>
    <t>0850</t>
  </si>
  <si>
    <t>20189202</t>
  </si>
  <si>
    <t>0950</t>
  </si>
  <si>
    <t>Desde  01/08/16 Hasta: 31/08/16</t>
  </si>
  <si>
    <t>ALVAREZ  HAYRLEN</t>
  </si>
  <si>
    <t>587940</t>
  </si>
  <si>
    <t>15959808</t>
  </si>
  <si>
    <t>0198</t>
  </si>
  <si>
    <t>588373</t>
  </si>
  <si>
    <t>588374</t>
  </si>
  <si>
    <t>587632</t>
  </si>
  <si>
    <t>587633</t>
  </si>
  <si>
    <t>587634</t>
  </si>
  <si>
    <t>587728</t>
  </si>
  <si>
    <t xml:space="preserve">587853 </t>
  </si>
  <si>
    <t>ANZOLA BLADIMIR</t>
  </si>
  <si>
    <t>11269196</t>
  </si>
  <si>
    <t>0149</t>
  </si>
  <si>
    <t>587783</t>
  </si>
  <si>
    <t>ANDRADE FREDDY</t>
  </si>
  <si>
    <t>13180551</t>
  </si>
  <si>
    <t>0183</t>
  </si>
  <si>
    <t>588281</t>
  </si>
  <si>
    <t>587631</t>
  </si>
  <si>
    <t>AZUAJE  ALEXANDER</t>
  </si>
  <si>
    <t>13774684</t>
  </si>
  <si>
    <t>0196</t>
  </si>
  <si>
    <t>588030</t>
  </si>
  <si>
    <t>588032</t>
  </si>
  <si>
    <t>ANGULO JOSE</t>
  </si>
  <si>
    <t>03784441</t>
  </si>
  <si>
    <t>0111</t>
  </si>
  <si>
    <t>588713</t>
  </si>
  <si>
    <t>588720</t>
  </si>
  <si>
    <t>588665</t>
  </si>
  <si>
    <t>BELLO LAYA JULIO</t>
  </si>
  <si>
    <t>07344290</t>
  </si>
  <si>
    <t>0222</t>
  </si>
  <si>
    <t>587865</t>
  </si>
  <si>
    <t>BRICEÑO  JORGE</t>
  </si>
  <si>
    <t>9544827</t>
  </si>
  <si>
    <t>0221</t>
  </si>
  <si>
    <t>588635</t>
  </si>
  <si>
    <t>588636</t>
  </si>
  <si>
    <t>CASTILLO  JOSE</t>
  </si>
  <si>
    <t>9626215</t>
  </si>
  <si>
    <t>0374</t>
  </si>
  <si>
    <t>588279</t>
  </si>
  <si>
    <t>11163187</t>
  </si>
  <si>
    <t>0328</t>
  </si>
  <si>
    <t>CALDERON BELKYS</t>
  </si>
  <si>
    <t>588365</t>
  </si>
  <si>
    <t>588364</t>
  </si>
  <si>
    <t>588424</t>
  </si>
  <si>
    <t>588425</t>
  </si>
  <si>
    <t xml:space="preserve">CHIRINOS CARLOS GREGORIO </t>
  </si>
  <si>
    <t>0366</t>
  </si>
  <si>
    <t>07446644</t>
  </si>
  <si>
    <t>588459</t>
  </si>
  <si>
    <t>12314254</t>
  </si>
  <si>
    <t>0304</t>
  </si>
  <si>
    <t>CASTELLANO VICENTE</t>
  </si>
  <si>
    <t>588602</t>
  </si>
  <si>
    <t>588604</t>
  </si>
  <si>
    <t>588638</t>
  </si>
  <si>
    <t>0305</t>
  </si>
  <si>
    <t>CHAVEZ COLMENAREZ MARIA</t>
  </si>
  <si>
    <t>588641</t>
  </si>
  <si>
    <t>588642</t>
  </si>
  <si>
    <t>09320720</t>
  </si>
  <si>
    <t>588682</t>
  </si>
  <si>
    <t>588026</t>
  </si>
  <si>
    <t>588027</t>
  </si>
  <si>
    <t>587883</t>
  </si>
  <si>
    <t>07310425</t>
  </si>
  <si>
    <t>0346</t>
  </si>
  <si>
    <t>COLMENAREZ PALMA MIGUEL</t>
  </si>
  <si>
    <t>587598</t>
  </si>
  <si>
    <t>587599</t>
  </si>
  <si>
    <t>587630</t>
  </si>
  <si>
    <t>09620701</t>
  </si>
  <si>
    <t>0624</t>
  </si>
  <si>
    <t>ESCALONA DIONICIO</t>
  </si>
  <si>
    <t>588033</t>
  </si>
  <si>
    <t>588322</t>
  </si>
  <si>
    <t>588727</t>
  </si>
  <si>
    <t xml:space="preserve">DIAZ LEAL DANIEL </t>
  </si>
  <si>
    <t>587875</t>
  </si>
  <si>
    <t>0713</t>
  </si>
  <si>
    <t>588272</t>
  </si>
  <si>
    <t>03963688</t>
  </si>
  <si>
    <t>0863</t>
  </si>
  <si>
    <t>GALLARDO SILVERIO</t>
  </si>
  <si>
    <t>587702</t>
  </si>
  <si>
    <t>588372</t>
  </si>
  <si>
    <t>07426046</t>
  </si>
  <si>
    <t>0889</t>
  </si>
  <si>
    <t>GUASIMUCARO HENRY</t>
  </si>
  <si>
    <t>588463</t>
  </si>
  <si>
    <t>07436996</t>
  </si>
  <si>
    <t>0919</t>
  </si>
  <si>
    <t>GIMENEZ ERNESTO</t>
  </si>
  <si>
    <t>588416</t>
  </si>
  <si>
    <t>588419</t>
  </si>
  <si>
    <t>05257727</t>
  </si>
  <si>
    <t>0893</t>
  </si>
  <si>
    <t>GARCIA GUSTAVO</t>
  </si>
  <si>
    <t>588591</t>
  </si>
  <si>
    <t>13527636</t>
  </si>
  <si>
    <t>0727</t>
  </si>
  <si>
    <t>GARCIA RUBEN</t>
  </si>
  <si>
    <t>588593</t>
  </si>
  <si>
    <t>588561</t>
  </si>
  <si>
    <t>588562</t>
  </si>
  <si>
    <t>588564</t>
  </si>
  <si>
    <t>588565</t>
  </si>
  <si>
    <t>07427808</t>
  </si>
  <si>
    <t>GARRIDO CARMEN</t>
  </si>
  <si>
    <t>588627</t>
  </si>
  <si>
    <t>588626</t>
  </si>
  <si>
    <t>GONZALES JORGE</t>
  </si>
  <si>
    <t>588016</t>
  </si>
  <si>
    <t>03784066</t>
  </si>
  <si>
    <t>0728</t>
  </si>
  <si>
    <t>GOMEZ ARACELYS</t>
  </si>
  <si>
    <t>587770</t>
  </si>
  <si>
    <t>587772</t>
  </si>
  <si>
    <t>587771</t>
  </si>
  <si>
    <t>HERNANDEZ RODRIGUEZ KELVIN</t>
  </si>
  <si>
    <t>588304</t>
  </si>
  <si>
    <t>07145285</t>
  </si>
  <si>
    <t>0908</t>
  </si>
  <si>
    <t xml:space="preserve">HERNANDEZ CARLOS </t>
  </si>
  <si>
    <t>588672</t>
  </si>
  <si>
    <t>588673</t>
  </si>
  <si>
    <t>09614364</t>
  </si>
  <si>
    <t>0909</t>
  </si>
  <si>
    <t>HERNANDEZ JORGE</t>
  </si>
  <si>
    <t>58018</t>
  </si>
  <si>
    <t>07447992</t>
  </si>
  <si>
    <t>2042</t>
  </si>
  <si>
    <t xml:space="preserve">ISAZA BERTHA </t>
  </si>
  <si>
    <t>588430</t>
  </si>
  <si>
    <t>588431</t>
  </si>
  <si>
    <t>1337</t>
  </si>
  <si>
    <t>LOPEZ ANA</t>
  </si>
  <si>
    <t>588542</t>
  </si>
  <si>
    <t>05765952</t>
  </si>
  <si>
    <t>1333</t>
  </si>
  <si>
    <t>LUCENA JOSE</t>
  </si>
  <si>
    <t>588527</t>
  </si>
  <si>
    <t>588651</t>
  </si>
  <si>
    <t>07338055</t>
  </si>
  <si>
    <t>1317</t>
  </si>
  <si>
    <t xml:space="preserve">LISCANO JAIME </t>
  </si>
  <si>
    <t>588654</t>
  </si>
  <si>
    <t>09617493</t>
  </si>
  <si>
    <t>1463</t>
  </si>
  <si>
    <t>MENDEZ MARLENE</t>
  </si>
  <si>
    <t>588296</t>
  </si>
  <si>
    <t>19/18/16</t>
  </si>
  <si>
    <t>09100619</t>
  </si>
  <si>
    <t>1422</t>
  </si>
  <si>
    <t xml:space="preserve">MONTILLA JOSE </t>
  </si>
  <si>
    <t>588305</t>
  </si>
  <si>
    <t>00770342</t>
  </si>
  <si>
    <t>1409</t>
  </si>
  <si>
    <t>MARTINEZ SIXTO</t>
  </si>
  <si>
    <t>588370</t>
  </si>
  <si>
    <t>09546474</t>
  </si>
  <si>
    <t>6214</t>
  </si>
  <si>
    <t>588421</t>
  </si>
  <si>
    <t>MENDOZA PE#UELA GREGORIO</t>
  </si>
  <si>
    <t>11429792</t>
  </si>
  <si>
    <t>1518</t>
  </si>
  <si>
    <t>MADRIZ COLMENAREZ GIOVANNY</t>
  </si>
  <si>
    <t>587628</t>
  </si>
  <si>
    <t>587629</t>
  </si>
  <si>
    <t>07355928</t>
  </si>
  <si>
    <t>1502</t>
  </si>
  <si>
    <t>NUÑEZ ELIO</t>
  </si>
  <si>
    <t>587884</t>
  </si>
  <si>
    <t>19324610</t>
  </si>
  <si>
    <t>2619</t>
  </si>
  <si>
    <t>OROZCO C. HECTOR A.</t>
  </si>
  <si>
    <t>588392</t>
  </si>
  <si>
    <t>13785661</t>
  </si>
  <si>
    <t>1621</t>
  </si>
  <si>
    <t>ORTIZ JAIRO</t>
  </si>
  <si>
    <t>588630</t>
  </si>
  <si>
    <t>588631</t>
  </si>
  <si>
    <t>09557875</t>
  </si>
  <si>
    <t>1810</t>
  </si>
  <si>
    <t>07418939</t>
  </si>
  <si>
    <t>1820</t>
  </si>
  <si>
    <t>PEREZ JOSE</t>
  </si>
  <si>
    <t>587642</t>
  </si>
  <si>
    <t>587641</t>
  </si>
  <si>
    <t>588467</t>
  </si>
  <si>
    <t>588466</t>
  </si>
  <si>
    <t>09545198</t>
  </si>
  <si>
    <t>1736</t>
  </si>
  <si>
    <t>PEREZ SOTO AURA</t>
  </si>
  <si>
    <t>588566</t>
  </si>
  <si>
    <t>588567</t>
  </si>
  <si>
    <t>588568</t>
  </si>
  <si>
    <t>07466779</t>
  </si>
  <si>
    <t>1732</t>
  </si>
  <si>
    <t>PEREZ OMAR</t>
  </si>
  <si>
    <t>587966</t>
  </si>
  <si>
    <t>588669</t>
  </si>
  <si>
    <t>10846940</t>
  </si>
  <si>
    <t>1719</t>
  </si>
  <si>
    <t>PIÑA RAFAEL</t>
  </si>
  <si>
    <t>587647</t>
  </si>
  <si>
    <t>07455429</t>
  </si>
  <si>
    <t>1706</t>
  </si>
  <si>
    <t>PERNALETE ORQUIDIA</t>
  </si>
  <si>
    <t>587832</t>
  </si>
  <si>
    <t>587831</t>
  </si>
  <si>
    <t>587830</t>
  </si>
  <si>
    <t>16641426</t>
  </si>
  <si>
    <t>1822</t>
  </si>
  <si>
    <t>PIÑA JOSE</t>
  </si>
  <si>
    <t>587732</t>
  </si>
  <si>
    <t>587735</t>
  </si>
  <si>
    <t>587734</t>
  </si>
  <si>
    <t>QUERALES NORYS</t>
  </si>
  <si>
    <t>588256</t>
  </si>
  <si>
    <t>588268</t>
  </si>
  <si>
    <t>15778630</t>
  </si>
  <si>
    <t>0250</t>
  </si>
  <si>
    <t>QUERALES R. ANTONI</t>
  </si>
  <si>
    <t>588258</t>
  </si>
  <si>
    <t>588,259</t>
  </si>
  <si>
    <t>07436077</t>
  </si>
  <si>
    <t>1154</t>
  </si>
  <si>
    <t>RODRIGUEZ C EVELIO</t>
  </si>
  <si>
    <t>588253</t>
  </si>
  <si>
    <t>587644</t>
  </si>
  <si>
    <t>587815</t>
  </si>
  <si>
    <t>588452</t>
  </si>
  <si>
    <t>588484</t>
  </si>
  <si>
    <t>588486</t>
  </si>
  <si>
    <t>588697</t>
  </si>
  <si>
    <t>588698</t>
  </si>
  <si>
    <t>588700</t>
  </si>
  <si>
    <t>14335445</t>
  </si>
  <si>
    <t>0408</t>
  </si>
  <si>
    <t>RODRIGUEZ ALVARADO YOVANNY</t>
  </si>
  <si>
    <t>588354</t>
  </si>
  <si>
    <t>588353</t>
  </si>
  <si>
    <t>15598510</t>
  </si>
  <si>
    <t>2091</t>
  </si>
  <si>
    <t xml:space="preserve">RODRIGUEZ PASTOR </t>
  </si>
  <si>
    <t>588598</t>
  </si>
  <si>
    <t>588596</t>
  </si>
  <si>
    <t>07409730</t>
  </si>
  <si>
    <t>1971</t>
  </si>
  <si>
    <t xml:space="preserve">RIVERO JOSE </t>
  </si>
  <si>
    <t>588553</t>
  </si>
  <si>
    <t>588552</t>
  </si>
  <si>
    <t>31/06/16</t>
  </si>
  <si>
    <t>13785997</t>
  </si>
  <si>
    <t>1812</t>
  </si>
  <si>
    <t>RODRIGUEZ WILLIAM</t>
  </si>
  <si>
    <t>588773</t>
  </si>
  <si>
    <t>10107724</t>
  </si>
  <si>
    <t>1973</t>
  </si>
  <si>
    <t>RONDON RONDON JOSE</t>
  </si>
  <si>
    <t>588014</t>
  </si>
  <si>
    <t>07425063</t>
  </si>
  <si>
    <t>1987</t>
  </si>
  <si>
    <t>RODRIGUEZ LIGIA</t>
  </si>
  <si>
    <t>587638</t>
  </si>
  <si>
    <t>14293690</t>
  </si>
  <si>
    <t>2095</t>
  </si>
  <si>
    <t>SANCHEZ MARCHAN GLENDA</t>
  </si>
  <si>
    <t>587890</t>
  </si>
  <si>
    <t>588034</t>
  </si>
  <si>
    <t>07360346</t>
  </si>
  <si>
    <t>2044</t>
  </si>
  <si>
    <t>SANCHEZ HERNAN</t>
  </si>
  <si>
    <t>588574</t>
  </si>
  <si>
    <t>11879416</t>
  </si>
  <si>
    <t>2072</t>
  </si>
  <si>
    <t>SILVA GARCIA RAFAEL</t>
  </si>
  <si>
    <t>588384</t>
  </si>
  <si>
    <t>588385</t>
  </si>
  <si>
    <t>05255641</t>
  </si>
  <si>
    <t>2047</t>
  </si>
  <si>
    <t>SOTO EDUARDO</t>
  </si>
  <si>
    <t>588396</t>
  </si>
  <si>
    <t>09612692</t>
  </si>
  <si>
    <t>1478</t>
  </si>
  <si>
    <t>MEDINA RODRIGUEZ LUIS</t>
  </si>
  <si>
    <t>288139</t>
  </si>
  <si>
    <t>09608547</t>
  </si>
  <si>
    <t>0875</t>
  </si>
  <si>
    <t>GARRIDO MARCIAL</t>
  </si>
  <si>
    <t>588138</t>
  </si>
  <si>
    <t>07437729</t>
  </si>
  <si>
    <t>05</t>
  </si>
  <si>
    <t>DELGADO CASTRO YULIO DAVID</t>
  </si>
  <si>
    <t>588118</t>
  </si>
  <si>
    <t>11429991</t>
  </si>
  <si>
    <t>0230</t>
  </si>
  <si>
    <t>BRICEÑO ASDRUBAL</t>
  </si>
  <si>
    <t>588116</t>
  </si>
  <si>
    <t>07392153</t>
  </si>
  <si>
    <t>2324</t>
  </si>
  <si>
    <t>VALLES ORLANDO</t>
  </si>
  <si>
    <t>588321</t>
  </si>
  <si>
    <t>15668151</t>
  </si>
  <si>
    <t>2354</t>
  </si>
  <si>
    <t>VIRGUEZ V, PAUCIDES A.</t>
  </si>
  <si>
    <t>588308</t>
  </si>
  <si>
    <t>588309</t>
  </si>
  <si>
    <t>05436619</t>
  </si>
  <si>
    <t>2506</t>
  </si>
  <si>
    <t xml:space="preserve">YUSTIZ JOSE </t>
  </si>
  <si>
    <t>588725</t>
  </si>
  <si>
    <t>07420316</t>
  </si>
  <si>
    <t>2505</t>
  </si>
  <si>
    <t>YEPEZ HERNANDEZ JUANA</t>
  </si>
  <si>
    <t>588417</t>
  </si>
  <si>
    <t>04383023</t>
  </si>
  <si>
    <t>2322</t>
  </si>
  <si>
    <t>VELASQUEZ EMILIO</t>
  </si>
  <si>
    <t>588114</t>
  </si>
  <si>
    <t>588109</t>
  </si>
  <si>
    <t>07387544</t>
  </si>
  <si>
    <t>1758</t>
  </si>
  <si>
    <t>PEROZO GREGORIO</t>
  </si>
  <si>
    <t>588111</t>
  </si>
  <si>
    <t>11883300</t>
  </si>
  <si>
    <t>1513</t>
  </si>
  <si>
    <t>MARIN CORDERO ANTONIO</t>
  </si>
  <si>
    <t>588192</t>
  </si>
  <si>
    <t>07401853</t>
  </si>
  <si>
    <t>588160</t>
  </si>
  <si>
    <t>09552709</t>
  </si>
  <si>
    <t>0820</t>
  </si>
  <si>
    <t>GOMEZ MIRNA</t>
  </si>
  <si>
    <t>588087</t>
  </si>
  <si>
    <t>588086</t>
  </si>
  <si>
    <t>588089</t>
  </si>
  <si>
    <t>588088</t>
  </si>
  <si>
    <t>05246954</t>
  </si>
  <si>
    <t>MARTINEZ JOSE</t>
  </si>
  <si>
    <t>04739796</t>
  </si>
  <si>
    <t>HUGGINS ALVES</t>
  </si>
  <si>
    <t>58803</t>
  </si>
  <si>
    <t>1442</t>
  </si>
  <si>
    <t>588042</t>
  </si>
  <si>
    <t>0911</t>
  </si>
  <si>
    <t>Glenda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</si>
</sst>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;[Red]#,##0.00"/>
    <numFmt numFmtId="165" formatCode="#,##0;[Red]#,##0"/>
    <numFmt numFmtId="166" formatCode="_([$€-2]\ * #,##0.00_);_([$€-2]\ * \(#,##0.00\);_([$€-2]\ * &quot;-&quot;??_)"/>
    <numFmt numFmtId="167" formatCode="dd/mm/yy;@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i/>
      <sz val="9"/>
      <name val="Arial"/>
      <family val="2"/>
    </font>
    <font>
      <sz val="10"/>
      <color indexed="18"/>
      <name val="Arial Black"/>
      <family val="2"/>
    </font>
    <font>
      <sz val="9"/>
      <color indexed="18"/>
      <name val="Arial Narrow"/>
      <family val="2"/>
    </font>
    <font>
      <b/>
      <sz val="9"/>
      <color indexed="18"/>
      <name val="Copperplate Gothic Light"/>
      <family val="2"/>
    </font>
    <font>
      <sz val="9"/>
      <color theme="1"/>
      <name val="Agency FB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18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6" fontId="2" fillId="0" borderId="0" applyFont="0" applyFill="0" applyBorder="0" applyAlignment="0" applyProtection="0"/>
  </cellStyleXfs>
  <cellXfs count="89">
    <xf numFmtId="0" fontId="0" fillId="0" borderId="0" xfId="0"/>
    <xf numFmtId="0" fontId="1" fillId="0" borderId="0" xfId="1"/>
    <xf numFmtId="0" fontId="3" fillId="0" borderId="0" xfId="1" applyFont="1" applyAlignment="1"/>
    <xf numFmtId="164" fontId="6" fillId="0" borderId="0" xfId="1" applyNumberFormat="1" applyFont="1" applyAlignment="1">
      <alignment horizontal="right"/>
    </xf>
    <xf numFmtId="164" fontId="6" fillId="0" borderId="0" xfId="1" applyNumberFormat="1" applyFont="1" applyBorder="1"/>
    <xf numFmtId="164" fontId="3" fillId="0" borderId="0" xfId="1" applyNumberFormat="1" applyFont="1" applyAlignment="1">
      <alignment horizontal="right"/>
    </xf>
    <xf numFmtId="164" fontId="6" fillId="0" borderId="0" xfId="1" applyNumberFormat="1" applyFont="1" applyAlignment="1">
      <alignment horizontal="center"/>
    </xf>
    <xf numFmtId="164" fontId="6" fillId="0" borderId="0" xfId="1" applyNumberFormat="1" applyFont="1" applyFill="1" applyBorder="1" applyAlignment="1">
      <alignment horizontal="right"/>
    </xf>
    <xf numFmtId="164" fontId="6" fillId="0" borderId="0" xfId="1" applyNumberFormat="1" applyFont="1" applyBorder="1" applyAlignment="1">
      <alignment horizontal="right"/>
    </xf>
    <xf numFmtId="164" fontId="0" fillId="0" borderId="0" xfId="0" applyNumberFormat="1"/>
    <xf numFmtId="0" fontId="8" fillId="0" borderId="0" xfId="1" applyFont="1" applyBorder="1" applyAlignment="1"/>
    <xf numFmtId="0" fontId="10" fillId="0" borderId="0" xfId="1" applyFont="1" applyAlignment="1"/>
    <xf numFmtId="0" fontId="9" fillId="0" borderId="0" xfId="1" applyFont="1" applyAlignment="1"/>
    <xf numFmtId="0" fontId="7" fillId="0" borderId="0" xfId="1" applyFont="1" applyAlignment="1"/>
    <xf numFmtId="49" fontId="7" fillId="0" borderId="0" xfId="1" applyNumberFormat="1" applyFont="1" applyAlignment="1"/>
    <xf numFmtId="49" fontId="1" fillId="0" borderId="0" xfId="1" applyNumberFormat="1"/>
    <xf numFmtId="49" fontId="0" fillId="0" borderId="0" xfId="0" applyNumberFormat="1"/>
    <xf numFmtId="0" fontId="11" fillId="0" borderId="0" xfId="0" applyFont="1"/>
    <xf numFmtId="164" fontId="11" fillId="0" borderId="0" xfId="0" applyNumberFormat="1" applyFont="1"/>
    <xf numFmtId="49" fontId="11" fillId="0" borderId="0" xfId="0" applyNumberFormat="1" applyFont="1" applyAlignment="1">
      <alignment horizontal="center"/>
    </xf>
    <xf numFmtId="0" fontId="12" fillId="0" borderId="7" xfId="0" applyFont="1" applyBorder="1"/>
    <xf numFmtId="164" fontId="12" fillId="0" borderId="7" xfId="0" applyNumberFormat="1" applyFont="1" applyBorder="1"/>
    <xf numFmtId="49" fontId="12" fillId="0" borderId="7" xfId="0" applyNumberFormat="1" applyFont="1" applyBorder="1" applyAlignment="1">
      <alignment horizontal="center"/>
    </xf>
    <xf numFmtId="167" fontId="13" fillId="0" borderId="7" xfId="1" applyNumberFormat="1" applyFont="1" applyBorder="1" applyAlignment="1">
      <alignment horizontal="center"/>
    </xf>
    <xf numFmtId="49" fontId="13" fillId="0" borderId="1" xfId="1" applyNumberFormat="1" applyFont="1" applyBorder="1" applyAlignment="1">
      <alignment horizontal="center"/>
    </xf>
    <xf numFmtId="164" fontId="13" fillId="0" borderId="7" xfId="1" applyNumberFormat="1" applyFont="1" applyBorder="1" applyAlignment="1">
      <alignment horizontal="center"/>
    </xf>
    <xf numFmtId="49" fontId="13" fillId="0" borderId="7" xfId="1" applyNumberFormat="1" applyFont="1" applyBorder="1" applyAlignment="1">
      <alignment horizontal="center"/>
    </xf>
    <xf numFmtId="0" fontId="0" fillId="0" borderId="7" xfId="0" applyBorder="1"/>
    <xf numFmtId="164" fontId="6" fillId="0" borderId="0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7" fontId="13" fillId="0" borderId="11" xfId="1" applyNumberFormat="1" applyFont="1" applyBorder="1" applyAlignment="1">
      <alignment horizontal="center"/>
    </xf>
    <xf numFmtId="167" fontId="13" fillId="0" borderId="0" xfId="1" applyNumberFormat="1" applyFont="1" applyBorder="1" applyAlignment="1">
      <alignment horizontal="center"/>
    </xf>
    <xf numFmtId="49" fontId="13" fillId="0" borderId="11" xfId="1" applyNumberFormat="1" applyFont="1" applyBorder="1" applyAlignment="1">
      <alignment horizontal="center"/>
    </xf>
    <xf numFmtId="49" fontId="0" fillId="0" borderId="7" xfId="0" applyNumberFormat="1" applyFont="1" applyBorder="1" applyAlignment="1">
      <alignment horizontal="center"/>
    </xf>
    <xf numFmtId="164" fontId="0" fillId="0" borderId="0" xfId="0" applyNumberFormat="1" applyFont="1"/>
    <xf numFmtId="0" fontId="0" fillId="0" borderId="7" xfId="0" applyFont="1" applyBorder="1"/>
    <xf numFmtId="164" fontId="0" fillId="0" borderId="7" xfId="0" applyNumberFormat="1" applyFont="1" applyBorder="1"/>
    <xf numFmtId="4" fontId="12" fillId="0" borderId="7" xfId="0" applyNumberFormat="1" applyFont="1" applyBorder="1"/>
    <xf numFmtId="0" fontId="18" fillId="0" borderId="7" xfId="1" applyFont="1" applyBorder="1" applyAlignment="1">
      <alignment horizontal="center"/>
    </xf>
    <xf numFmtId="49" fontId="18" fillId="0" borderId="7" xfId="1" applyNumberFormat="1" applyFont="1" applyBorder="1" applyAlignment="1">
      <alignment horizontal="center"/>
    </xf>
    <xf numFmtId="165" fontId="18" fillId="0" borderId="7" xfId="1" applyNumberFormat="1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164" fontId="18" fillId="0" borderId="7" xfId="1" applyNumberFormat="1" applyFont="1" applyBorder="1" applyAlignment="1">
      <alignment horizontal="center"/>
    </xf>
    <xf numFmtId="164" fontId="18" fillId="0" borderId="1" xfId="1" applyNumberFormat="1" applyFont="1" applyFill="1" applyBorder="1" applyAlignment="1"/>
    <xf numFmtId="164" fontId="12" fillId="0" borderId="0" xfId="0" applyNumberFormat="1" applyFont="1"/>
    <xf numFmtId="167" fontId="13" fillId="0" borderId="0" xfId="1" applyNumberFormat="1" applyFont="1" applyBorder="1" applyAlignment="1">
      <alignment horizontal="center"/>
    </xf>
    <xf numFmtId="164" fontId="18" fillId="0" borderId="0" xfId="1" applyNumberFormat="1" applyFont="1" applyBorder="1" applyAlignment="1">
      <alignment horizontal="center"/>
    </xf>
    <xf numFmtId="49" fontId="0" fillId="0" borderId="7" xfId="0" applyNumberFormat="1" applyBorder="1"/>
    <xf numFmtId="164" fontId="0" fillId="0" borderId="7" xfId="0" applyNumberFormat="1" applyFont="1" applyFill="1" applyBorder="1"/>
    <xf numFmtId="167" fontId="13" fillId="0" borderId="0" xfId="1" applyNumberFormat="1" applyFont="1" applyBorder="1" applyAlignment="1">
      <alignment horizontal="center"/>
    </xf>
    <xf numFmtId="167" fontId="13" fillId="0" borderId="0" xfId="1" applyNumberFormat="1" applyFont="1" applyBorder="1" applyAlignment="1">
      <alignment horizontal="center"/>
    </xf>
    <xf numFmtId="49" fontId="0" fillId="0" borderId="11" xfId="0" applyNumberFormat="1" applyBorder="1"/>
    <xf numFmtId="167" fontId="13" fillId="0" borderId="11" xfId="1" applyNumberFormat="1" applyFont="1" applyFill="1" applyBorder="1" applyAlignment="1">
      <alignment horizontal="center"/>
    </xf>
    <xf numFmtId="49" fontId="13" fillId="0" borderId="11" xfId="1" applyNumberFormat="1" applyFont="1" applyFill="1" applyBorder="1" applyAlignment="1">
      <alignment horizontal="center"/>
    </xf>
    <xf numFmtId="0" fontId="0" fillId="0" borderId="7" xfId="0" applyFont="1" applyFill="1" applyBorder="1"/>
    <xf numFmtId="164" fontId="12" fillId="0" borderId="7" xfId="0" applyNumberFormat="1" applyFont="1" applyFill="1" applyBorder="1"/>
    <xf numFmtId="49" fontId="0" fillId="0" borderId="7" xfId="0" applyNumberFormat="1" applyFont="1" applyFill="1" applyBorder="1" applyAlignment="1">
      <alignment horizontal="center"/>
    </xf>
    <xf numFmtId="164" fontId="13" fillId="0" borderId="7" xfId="1" applyNumberFormat="1" applyFont="1" applyFill="1" applyBorder="1" applyAlignment="1">
      <alignment horizontal="center"/>
    </xf>
    <xf numFmtId="0" fontId="15" fillId="0" borderId="0" xfId="1" applyFont="1" applyAlignment="1">
      <alignment horizontal="center"/>
    </xf>
    <xf numFmtId="0" fontId="17" fillId="0" borderId="8" xfId="1" applyFont="1" applyBorder="1" applyAlignment="1">
      <alignment horizontal="center"/>
    </xf>
    <xf numFmtId="0" fontId="15" fillId="0" borderId="0" xfId="1" applyFont="1" applyBorder="1" applyAlignment="1">
      <alignment horizontal="center"/>
    </xf>
    <xf numFmtId="0" fontId="16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49" fontId="17" fillId="0" borderId="0" xfId="1" applyNumberFormat="1" applyFont="1" applyAlignment="1">
      <alignment horizontal="center"/>
    </xf>
    <xf numFmtId="0" fontId="5" fillId="0" borderId="1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65" fontId="5" fillId="0" borderId="9" xfId="1" applyNumberFormat="1" applyFont="1" applyBorder="1" applyAlignment="1">
      <alignment horizontal="center"/>
    </xf>
    <xf numFmtId="165" fontId="5" fillId="0" borderId="2" xfId="1" applyNumberFormat="1" applyFont="1" applyBorder="1" applyAlignment="1">
      <alignment horizontal="center"/>
    </xf>
    <xf numFmtId="167" fontId="13" fillId="0" borderId="0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165" fontId="6" fillId="0" borderId="9" xfId="1" applyNumberFormat="1" applyFont="1" applyBorder="1" applyAlignment="1">
      <alignment horizontal="center"/>
    </xf>
    <xf numFmtId="165" fontId="6" fillId="0" borderId="2" xfId="1" applyNumberFormat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165" fontId="3" fillId="0" borderId="5" xfId="1" applyNumberFormat="1" applyFont="1" applyBorder="1" applyAlignment="1">
      <alignment horizontal="center"/>
    </xf>
    <xf numFmtId="165" fontId="3" fillId="0" borderId="10" xfId="1" applyNumberFormat="1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165" fontId="3" fillId="0" borderId="3" xfId="1" applyNumberFormat="1" applyFont="1" applyBorder="1" applyAlignment="1">
      <alignment horizontal="center"/>
    </xf>
    <xf numFmtId="165" fontId="3" fillId="0" borderId="8" xfId="1" applyNumberFormat="1" applyFont="1" applyBorder="1" applyAlignment="1">
      <alignment horizontal="center"/>
    </xf>
    <xf numFmtId="165" fontId="3" fillId="0" borderId="4" xfId="1" applyNumberFormat="1" applyFont="1" applyBorder="1" applyAlignment="1">
      <alignment horizontal="center"/>
    </xf>
  </cellXfs>
  <cellStyles count="3">
    <cellStyle name="Euro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142874</xdr:colOff>
      <xdr:row>0</xdr:row>
      <xdr:rowOff>0</xdr:rowOff>
    </xdr:from>
    <xdr:to>
      <xdr:col>2</xdr:col>
      <xdr:colOff>219074</xdr:colOff>
      <xdr:row>5</xdr:row>
      <xdr:rowOff>95250</xdr:rowOff>
    </xdr:to>
    <xdr:pic>
      <xdr:nvPicPr>
        <xdr:cNvPr id="6" name="Picture 412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4" y="9725025"/>
          <a:ext cx="1362075" cy="10572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T160"/>
  <sheetViews>
    <sheetView tabSelected="1" workbookViewId="0">
      <selection activeCell="D13" sqref="D13"/>
    </sheetView>
  </sheetViews>
  <sheetFormatPr baseColWidth="10" defaultRowHeight="15" x14ac:dyDescent="0.25"/>
  <cols>
    <col min="1" max="1" width="10.28515625" customWidth="1"/>
    <col min="2" max="2" width="9" style="16" bestFit="1" customWidth="1"/>
    <col min="3" max="3" width="7.7109375" customWidth="1"/>
    <col min="4" max="4" width="30.28515625" customWidth="1"/>
    <col min="5" max="5" width="10.140625" bestFit="1" customWidth="1"/>
    <col min="6" max="6" width="7.42578125" customWidth="1"/>
    <col min="7" max="7" width="9.140625" bestFit="1" customWidth="1"/>
    <col min="8" max="8" width="12.28515625" bestFit="1" customWidth="1"/>
    <col min="9" max="9" width="10.140625" style="29" bestFit="1" customWidth="1"/>
    <col min="10" max="10" width="6.42578125" customWidth="1"/>
    <col min="11" max="11" width="10.140625" bestFit="1" customWidth="1"/>
  </cols>
  <sheetData>
    <row r="1" spans="1:12" ht="15.75" x14ac:dyDescent="0.3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10"/>
    </row>
    <row r="2" spans="1:12" x14ac:dyDescent="0.25">
      <c r="A2" s="61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11"/>
    </row>
    <row r="3" spans="1:12" x14ac:dyDescent="0.25">
      <c r="A3" s="62" t="s">
        <v>2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12"/>
    </row>
    <row r="4" spans="1:12" x14ac:dyDescent="0.25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12"/>
    </row>
    <row r="5" spans="1:12" x14ac:dyDescent="0.25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12"/>
    </row>
    <row r="6" spans="1:12" x14ac:dyDescent="0.25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12"/>
    </row>
    <row r="7" spans="1:12" x14ac:dyDescent="0.25">
      <c r="A7" s="63" t="s">
        <v>3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13"/>
    </row>
    <row r="8" spans="1:12" x14ac:dyDescent="0.25">
      <c r="A8" s="64" t="s">
        <v>16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14"/>
    </row>
    <row r="9" spans="1:12" x14ac:dyDescent="0.25">
      <c r="A9" s="59" t="s">
        <v>40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13"/>
    </row>
    <row r="10" spans="1:12" x14ac:dyDescent="0.25">
      <c r="A10" s="38" t="s">
        <v>4</v>
      </c>
      <c r="B10" s="39" t="s">
        <v>5</v>
      </c>
      <c r="C10" s="40" t="s">
        <v>6</v>
      </c>
      <c r="D10" s="41" t="s">
        <v>17</v>
      </c>
      <c r="E10" s="41" t="s">
        <v>8</v>
      </c>
      <c r="F10" s="42" t="s">
        <v>9</v>
      </c>
      <c r="G10" s="42" t="s">
        <v>11</v>
      </c>
      <c r="H10" s="43" t="s">
        <v>18</v>
      </c>
      <c r="I10" s="41" t="s">
        <v>7</v>
      </c>
      <c r="J10" s="42" t="s">
        <v>10</v>
      </c>
      <c r="K10" s="42" t="s">
        <v>12</v>
      </c>
      <c r="L10" s="1"/>
    </row>
    <row r="11" spans="1:12" x14ac:dyDescent="0.25">
      <c r="A11" s="23">
        <v>42591</v>
      </c>
      <c r="B11" s="24" t="s">
        <v>43</v>
      </c>
      <c r="C11" s="24" t="s">
        <v>44</v>
      </c>
      <c r="D11" s="20" t="s">
        <v>41</v>
      </c>
      <c r="E11" s="21">
        <v>6140</v>
      </c>
      <c r="F11" s="21">
        <v>0</v>
      </c>
      <c r="G11" s="21">
        <v>0</v>
      </c>
      <c r="H11" s="21">
        <f>E11+G11</f>
        <v>6140</v>
      </c>
      <c r="I11" s="22" t="s">
        <v>42</v>
      </c>
      <c r="J11" s="25">
        <v>0</v>
      </c>
      <c r="K11" s="25">
        <f t="shared" ref="K11:K42" si="0">E11+G11</f>
        <v>6140</v>
      </c>
    </row>
    <row r="12" spans="1:12" x14ac:dyDescent="0.25">
      <c r="A12" s="23">
        <v>42604</v>
      </c>
      <c r="B12" s="24" t="s">
        <v>25</v>
      </c>
      <c r="C12" s="24" t="s">
        <v>26</v>
      </c>
      <c r="D12" s="20" t="s">
        <v>19</v>
      </c>
      <c r="E12" s="21">
        <v>2309.9899999999998</v>
      </c>
      <c r="F12" s="21">
        <v>0</v>
      </c>
      <c r="G12" s="21">
        <v>0</v>
      </c>
      <c r="H12" s="21">
        <f t="shared" ref="H12:H153" si="1">E12+G12</f>
        <v>2309.9899999999998</v>
      </c>
      <c r="I12" s="22" t="s">
        <v>45</v>
      </c>
      <c r="J12" s="25">
        <v>0</v>
      </c>
      <c r="K12" s="25">
        <f t="shared" si="0"/>
        <v>2309.9899999999998</v>
      </c>
    </row>
    <row r="13" spans="1:12" x14ac:dyDescent="0.25">
      <c r="A13" s="23">
        <v>42604</v>
      </c>
      <c r="B13" s="24" t="s">
        <v>25</v>
      </c>
      <c r="C13" s="24" t="s">
        <v>26</v>
      </c>
      <c r="D13" s="20" t="s">
        <v>19</v>
      </c>
      <c r="E13" s="21">
        <v>1387.51</v>
      </c>
      <c r="F13" s="37">
        <v>0</v>
      </c>
      <c r="G13" s="21">
        <v>0</v>
      </c>
      <c r="H13" s="21">
        <f t="shared" si="1"/>
        <v>1387.51</v>
      </c>
      <c r="I13" s="22" t="s">
        <v>46</v>
      </c>
      <c r="J13" s="25">
        <v>0</v>
      </c>
      <c r="K13" s="25">
        <f t="shared" si="0"/>
        <v>1387.51</v>
      </c>
    </row>
    <row r="14" spans="1:12" x14ac:dyDescent="0.25">
      <c r="A14" s="23">
        <v>42583</v>
      </c>
      <c r="B14" s="24" t="s">
        <v>25</v>
      </c>
      <c r="C14" s="24" t="s">
        <v>26</v>
      </c>
      <c r="D14" s="20" t="s">
        <v>19</v>
      </c>
      <c r="E14" s="21">
        <v>1296.08</v>
      </c>
      <c r="F14" s="37">
        <v>0</v>
      </c>
      <c r="G14" s="21">
        <v>155.53</v>
      </c>
      <c r="H14" s="21">
        <f>E14+G14</f>
        <v>1451.61</v>
      </c>
      <c r="I14" s="22" t="s">
        <v>49</v>
      </c>
      <c r="J14" s="25">
        <v>0</v>
      </c>
      <c r="K14" s="25">
        <f t="shared" ref="K14" si="2">E14+G14</f>
        <v>1451.61</v>
      </c>
    </row>
    <row r="15" spans="1:12" x14ac:dyDescent="0.25">
      <c r="A15" s="23">
        <v>42583</v>
      </c>
      <c r="B15" s="24" t="s">
        <v>25</v>
      </c>
      <c r="C15" s="24" t="s">
        <v>26</v>
      </c>
      <c r="D15" s="20" t="s">
        <v>19</v>
      </c>
      <c r="E15" s="21">
        <v>2044.9</v>
      </c>
      <c r="F15" s="37">
        <v>0</v>
      </c>
      <c r="G15" s="21">
        <v>150</v>
      </c>
      <c r="H15" s="21">
        <f>E15+G15</f>
        <v>2194.9</v>
      </c>
      <c r="I15" s="22" t="s">
        <v>47</v>
      </c>
      <c r="J15" s="25">
        <v>0</v>
      </c>
      <c r="K15" s="25">
        <f t="shared" si="0"/>
        <v>2194.9</v>
      </c>
    </row>
    <row r="16" spans="1:12" x14ac:dyDescent="0.25">
      <c r="A16" s="23">
        <v>42583</v>
      </c>
      <c r="B16" s="24" t="s">
        <v>25</v>
      </c>
      <c r="C16" s="24" t="s">
        <v>26</v>
      </c>
      <c r="D16" s="20" t="s">
        <v>19</v>
      </c>
      <c r="E16" s="21">
        <v>1541.3</v>
      </c>
      <c r="F16" s="37">
        <v>0</v>
      </c>
      <c r="G16" s="21">
        <v>0</v>
      </c>
      <c r="H16" s="21">
        <f t="shared" si="1"/>
        <v>1541.3</v>
      </c>
      <c r="I16" s="22" t="s">
        <v>48</v>
      </c>
      <c r="J16" s="25">
        <v>0</v>
      </c>
      <c r="K16" s="25">
        <f t="shared" si="0"/>
        <v>1541.3</v>
      </c>
    </row>
    <row r="17" spans="1:13" x14ac:dyDescent="0.25">
      <c r="A17" s="23">
        <v>42585</v>
      </c>
      <c r="B17" s="24" t="s">
        <v>25</v>
      </c>
      <c r="C17" s="24" t="s">
        <v>26</v>
      </c>
      <c r="D17" s="20" t="s">
        <v>19</v>
      </c>
      <c r="E17" s="37">
        <v>1200</v>
      </c>
      <c r="F17" s="37">
        <v>0</v>
      </c>
      <c r="G17" s="37">
        <v>0</v>
      </c>
      <c r="H17" s="21">
        <f t="shared" si="1"/>
        <v>1200</v>
      </c>
      <c r="I17" s="22" t="s">
        <v>50</v>
      </c>
      <c r="J17" s="25">
        <v>0</v>
      </c>
      <c r="K17" s="25">
        <f t="shared" si="0"/>
        <v>1200</v>
      </c>
    </row>
    <row r="18" spans="1:13" x14ac:dyDescent="0.25">
      <c r="A18" s="23">
        <v>42590</v>
      </c>
      <c r="B18" s="24" t="s">
        <v>25</v>
      </c>
      <c r="C18" s="24" t="s">
        <v>26</v>
      </c>
      <c r="D18" s="20" t="s">
        <v>19</v>
      </c>
      <c r="E18" s="21">
        <v>1549.06</v>
      </c>
      <c r="F18" s="21">
        <v>0</v>
      </c>
      <c r="G18" s="37">
        <v>0</v>
      </c>
      <c r="H18" s="21">
        <f t="shared" si="1"/>
        <v>1549.06</v>
      </c>
      <c r="I18" s="22" t="s">
        <v>51</v>
      </c>
      <c r="J18" s="25">
        <v>0</v>
      </c>
      <c r="K18" s="25">
        <f t="shared" si="0"/>
        <v>1549.06</v>
      </c>
    </row>
    <row r="19" spans="1:13" x14ac:dyDescent="0.25">
      <c r="A19" s="23">
        <v>42586</v>
      </c>
      <c r="B19" s="24" t="s">
        <v>53</v>
      </c>
      <c r="C19" s="26" t="s">
        <v>54</v>
      </c>
      <c r="D19" s="20" t="s">
        <v>52</v>
      </c>
      <c r="E19" s="21">
        <v>2170.0500000000002</v>
      </c>
      <c r="F19" s="21">
        <v>0</v>
      </c>
      <c r="G19" s="37">
        <v>0</v>
      </c>
      <c r="H19" s="21">
        <f t="shared" si="1"/>
        <v>2170.0500000000002</v>
      </c>
      <c r="I19" s="22" t="s">
        <v>55</v>
      </c>
      <c r="J19" s="25">
        <v>0</v>
      </c>
      <c r="K19" s="25">
        <f t="shared" si="0"/>
        <v>2170.0500000000002</v>
      </c>
    </row>
    <row r="20" spans="1:13" x14ac:dyDescent="0.25">
      <c r="A20" s="23">
        <v>42600</v>
      </c>
      <c r="B20" s="26" t="s">
        <v>57</v>
      </c>
      <c r="C20" s="26" t="s">
        <v>58</v>
      </c>
      <c r="D20" s="20" t="s">
        <v>56</v>
      </c>
      <c r="E20" s="37">
        <v>1276.56</v>
      </c>
      <c r="F20" s="37">
        <v>0</v>
      </c>
      <c r="G20" s="37">
        <v>0</v>
      </c>
      <c r="H20" s="21">
        <f t="shared" si="1"/>
        <v>1276.56</v>
      </c>
      <c r="I20" s="22" t="s">
        <v>59</v>
      </c>
      <c r="J20" s="25">
        <v>0</v>
      </c>
      <c r="K20" s="25">
        <f t="shared" si="0"/>
        <v>1276.56</v>
      </c>
    </row>
    <row r="21" spans="1:13" x14ac:dyDescent="0.25">
      <c r="A21" s="23">
        <v>42583</v>
      </c>
      <c r="B21" s="26" t="s">
        <v>57</v>
      </c>
      <c r="C21" s="26" t="s">
        <v>58</v>
      </c>
      <c r="D21" s="20" t="s">
        <v>56</v>
      </c>
      <c r="E21" s="37">
        <v>1435.24</v>
      </c>
      <c r="F21" s="37">
        <v>0</v>
      </c>
      <c r="G21" s="37">
        <v>26.25</v>
      </c>
      <c r="H21" s="21">
        <f t="shared" ref="H21:H26" si="3">E21+G21</f>
        <v>1461.49</v>
      </c>
      <c r="I21" s="22" t="s">
        <v>60</v>
      </c>
      <c r="J21" s="25">
        <v>0</v>
      </c>
      <c r="K21" s="25">
        <f t="shared" si="0"/>
        <v>1461.49</v>
      </c>
      <c r="M21" s="9"/>
    </row>
    <row r="22" spans="1:13" x14ac:dyDescent="0.25">
      <c r="A22" s="23">
        <v>42593</v>
      </c>
      <c r="B22" s="26" t="s">
        <v>62</v>
      </c>
      <c r="C22" s="26" t="s">
        <v>63</v>
      </c>
      <c r="D22" s="20" t="s">
        <v>61</v>
      </c>
      <c r="E22" s="21">
        <v>3272.13</v>
      </c>
      <c r="F22" s="21">
        <v>0</v>
      </c>
      <c r="G22" s="21">
        <v>261.08</v>
      </c>
      <c r="H22" s="21">
        <f t="shared" si="3"/>
        <v>3533.21</v>
      </c>
      <c r="I22" s="22" t="s">
        <v>64</v>
      </c>
      <c r="J22" s="25">
        <v>0</v>
      </c>
      <c r="K22" s="25">
        <f t="shared" si="0"/>
        <v>3533.21</v>
      </c>
    </row>
    <row r="23" spans="1:13" x14ac:dyDescent="0.25">
      <c r="A23" s="23">
        <v>42593</v>
      </c>
      <c r="B23" s="26" t="s">
        <v>62</v>
      </c>
      <c r="C23" s="26" t="s">
        <v>63</v>
      </c>
      <c r="D23" s="20" t="s">
        <v>61</v>
      </c>
      <c r="E23" s="44">
        <v>687.5</v>
      </c>
      <c r="F23" s="21">
        <v>0</v>
      </c>
      <c r="G23" s="44">
        <v>82.5</v>
      </c>
      <c r="H23" s="21">
        <f t="shared" si="3"/>
        <v>770</v>
      </c>
      <c r="I23" s="22" t="s">
        <v>65</v>
      </c>
      <c r="J23" s="25">
        <v>0</v>
      </c>
      <c r="K23" s="25">
        <f t="shared" si="0"/>
        <v>770</v>
      </c>
    </row>
    <row r="24" spans="1:13" x14ac:dyDescent="0.25">
      <c r="A24" s="23">
        <v>42612</v>
      </c>
      <c r="B24" s="26" t="s">
        <v>67</v>
      </c>
      <c r="C24" s="26" t="s">
        <v>68</v>
      </c>
      <c r="D24" s="20" t="s">
        <v>66</v>
      </c>
      <c r="E24" s="21">
        <v>7084</v>
      </c>
      <c r="F24" s="21">
        <v>0</v>
      </c>
      <c r="G24" s="21">
        <v>0</v>
      </c>
      <c r="H24" s="21">
        <f t="shared" si="3"/>
        <v>7084</v>
      </c>
      <c r="I24" s="22" t="s">
        <v>69</v>
      </c>
      <c r="J24" s="25">
        <v>0</v>
      </c>
      <c r="K24" s="25">
        <f>E24+G24</f>
        <v>7084</v>
      </c>
    </row>
    <row r="25" spans="1:13" x14ac:dyDescent="0.25">
      <c r="A25" s="23">
        <v>42612</v>
      </c>
      <c r="B25" s="26" t="s">
        <v>67</v>
      </c>
      <c r="C25" s="26" t="s">
        <v>68</v>
      </c>
      <c r="D25" s="20" t="s">
        <v>66</v>
      </c>
      <c r="E25" s="21">
        <v>1421.31</v>
      </c>
      <c r="F25" s="21">
        <v>0</v>
      </c>
      <c r="G25" s="21">
        <v>0</v>
      </c>
      <c r="H25" s="21">
        <f t="shared" si="3"/>
        <v>1421.31</v>
      </c>
      <c r="I25" s="22" t="s">
        <v>70</v>
      </c>
      <c r="J25" s="25">
        <v>0</v>
      </c>
      <c r="K25" s="25">
        <f>E25+G25</f>
        <v>1421.31</v>
      </c>
    </row>
    <row r="26" spans="1:13" x14ac:dyDescent="0.25">
      <c r="A26" s="23">
        <v>42611</v>
      </c>
      <c r="B26" s="26" t="s">
        <v>27</v>
      </c>
      <c r="C26" s="26" t="s">
        <v>28</v>
      </c>
      <c r="D26" s="20" t="s">
        <v>22</v>
      </c>
      <c r="E26" s="21">
        <v>2328.5500000000002</v>
      </c>
      <c r="F26" s="21">
        <v>0</v>
      </c>
      <c r="G26" s="21">
        <v>279.43</v>
      </c>
      <c r="H26" s="21">
        <f t="shared" si="3"/>
        <v>2607.98</v>
      </c>
      <c r="I26" s="22" t="s">
        <v>71</v>
      </c>
      <c r="J26" s="25">
        <v>0</v>
      </c>
      <c r="K26" s="25">
        <f>E26+G26</f>
        <v>2607.98</v>
      </c>
      <c r="M26" s="9"/>
    </row>
    <row r="27" spans="1:13" x14ac:dyDescent="0.25">
      <c r="A27" s="23">
        <v>42590</v>
      </c>
      <c r="B27" s="26" t="s">
        <v>73</v>
      </c>
      <c r="C27" s="26" t="s">
        <v>74</v>
      </c>
      <c r="D27" s="20" t="s">
        <v>72</v>
      </c>
      <c r="E27" s="21">
        <v>800</v>
      </c>
      <c r="F27" s="21">
        <v>0</v>
      </c>
      <c r="G27" s="48">
        <v>0</v>
      </c>
      <c r="H27" s="21">
        <f>E27+G29</f>
        <v>800</v>
      </c>
      <c r="I27" s="22" t="s">
        <v>75</v>
      </c>
      <c r="J27" s="25">
        <v>0</v>
      </c>
      <c r="K27" s="25">
        <f>E27+G29</f>
        <v>800</v>
      </c>
    </row>
    <row r="28" spans="1:13" x14ac:dyDescent="0.25">
      <c r="A28" s="23">
        <v>42611</v>
      </c>
      <c r="B28" s="26" t="s">
        <v>77</v>
      </c>
      <c r="C28" s="26" t="s">
        <v>78</v>
      </c>
      <c r="D28" s="20" t="s">
        <v>76</v>
      </c>
      <c r="E28" s="21">
        <v>1292.8599999999999</v>
      </c>
      <c r="F28" s="21">
        <v>0</v>
      </c>
      <c r="G28" s="48">
        <v>0</v>
      </c>
      <c r="H28" s="21">
        <f>E28+G31</f>
        <v>1344.85</v>
      </c>
      <c r="I28" s="22" t="s">
        <v>79</v>
      </c>
      <c r="J28" s="25">
        <v>0</v>
      </c>
      <c r="K28" s="25">
        <f>E28+G31</f>
        <v>1344.85</v>
      </c>
    </row>
    <row r="29" spans="1:13" x14ac:dyDescent="0.25">
      <c r="A29" s="23">
        <v>42611</v>
      </c>
      <c r="B29" s="26" t="s">
        <v>77</v>
      </c>
      <c r="C29" s="26" t="s">
        <v>78</v>
      </c>
      <c r="D29" s="20" t="s">
        <v>76</v>
      </c>
      <c r="E29" s="21">
        <v>3853.48</v>
      </c>
      <c r="F29" s="21">
        <v>0</v>
      </c>
      <c r="G29" s="21">
        <v>0</v>
      </c>
      <c r="H29" s="21">
        <f>E29+G32</f>
        <v>4114.5600000000004</v>
      </c>
      <c r="I29" s="22" t="s">
        <v>80</v>
      </c>
      <c r="J29" s="25">
        <v>0</v>
      </c>
      <c r="K29" s="25">
        <f>E29+G32</f>
        <v>4114.5600000000004</v>
      </c>
    </row>
    <row r="30" spans="1:13" x14ac:dyDescent="0.25">
      <c r="A30" s="23">
        <v>42597</v>
      </c>
      <c r="B30" s="26" t="s">
        <v>342</v>
      </c>
      <c r="C30" s="26" t="s">
        <v>343</v>
      </c>
      <c r="D30" s="35" t="s">
        <v>344</v>
      </c>
      <c r="E30" s="21">
        <v>6023.24</v>
      </c>
      <c r="F30" s="21">
        <v>0</v>
      </c>
      <c r="G30" s="21">
        <v>43.39</v>
      </c>
      <c r="H30" s="21">
        <f>E30+G30</f>
        <v>6066.63</v>
      </c>
      <c r="I30" s="33" t="s">
        <v>345</v>
      </c>
      <c r="J30" s="25">
        <v>0</v>
      </c>
      <c r="K30" s="25">
        <f>E30+G30</f>
        <v>6066.63</v>
      </c>
    </row>
    <row r="31" spans="1:13" x14ac:dyDescent="0.25">
      <c r="A31" s="23">
        <v>42600</v>
      </c>
      <c r="B31" s="26" t="s">
        <v>82</v>
      </c>
      <c r="C31" s="26" t="s">
        <v>83</v>
      </c>
      <c r="D31" s="20" t="s">
        <v>81</v>
      </c>
      <c r="E31" s="21">
        <v>2861.43</v>
      </c>
      <c r="F31" s="37">
        <v>0</v>
      </c>
      <c r="G31" s="21">
        <v>51.99</v>
      </c>
      <c r="H31" s="21">
        <f t="shared" ref="H31:H41" si="4">E31+G31</f>
        <v>2913.4199999999996</v>
      </c>
      <c r="I31" s="22" t="s">
        <v>84</v>
      </c>
      <c r="J31" s="25">
        <v>0</v>
      </c>
      <c r="K31" s="25">
        <f>E31+G34</f>
        <v>2861.43</v>
      </c>
    </row>
    <row r="32" spans="1:13" x14ac:dyDescent="0.25">
      <c r="A32" s="23">
        <v>42604</v>
      </c>
      <c r="B32" s="26" t="s">
        <v>85</v>
      </c>
      <c r="C32" s="26" t="s">
        <v>86</v>
      </c>
      <c r="D32" s="20" t="s">
        <v>87</v>
      </c>
      <c r="E32" s="36">
        <v>2516</v>
      </c>
      <c r="F32" s="37">
        <v>0</v>
      </c>
      <c r="G32" s="21">
        <v>261.08</v>
      </c>
      <c r="H32" s="21">
        <f t="shared" si="4"/>
        <v>2777.08</v>
      </c>
      <c r="I32" s="33" t="s">
        <v>89</v>
      </c>
      <c r="J32" s="25">
        <v>0</v>
      </c>
      <c r="K32" s="25">
        <f>E32+G33</f>
        <v>2516</v>
      </c>
    </row>
    <row r="33" spans="1:11" x14ac:dyDescent="0.25">
      <c r="A33" s="23">
        <v>42604</v>
      </c>
      <c r="B33" s="26" t="s">
        <v>85</v>
      </c>
      <c r="C33" s="26" t="s">
        <v>86</v>
      </c>
      <c r="D33" s="20" t="s">
        <v>87</v>
      </c>
      <c r="E33" s="36">
        <v>1801.92</v>
      </c>
      <c r="F33" s="37">
        <v>0</v>
      </c>
      <c r="G33" s="21">
        <v>0</v>
      </c>
      <c r="H33" s="21">
        <f t="shared" si="4"/>
        <v>1801.92</v>
      </c>
      <c r="I33" s="33" t="s">
        <v>88</v>
      </c>
      <c r="J33" s="25">
        <v>0</v>
      </c>
      <c r="K33" s="25">
        <f t="shared" si="0"/>
        <v>1801.92</v>
      </c>
    </row>
    <row r="34" spans="1:11" x14ac:dyDescent="0.25">
      <c r="A34" s="23">
        <v>42611</v>
      </c>
      <c r="B34" s="26" t="s">
        <v>85</v>
      </c>
      <c r="C34" s="26" t="s">
        <v>86</v>
      </c>
      <c r="D34" s="35" t="s">
        <v>87</v>
      </c>
      <c r="E34" s="36">
        <v>2538.92</v>
      </c>
      <c r="F34" s="37">
        <v>0</v>
      </c>
      <c r="G34" s="37">
        <v>0</v>
      </c>
      <c r="H34" s="21">
        <f t="shared" si="4"/>
        <v>2538.92</v>
      </c>
      <c r="I34" s="33" t="s">
        <v>101</v>
      </c>
      <c r="J34" s="25">
        <v>0</v>
      </c>
      <c r="K34" s="36">
        <v>2538.92</v>
      </c>
    </row>
    <row r="35" spans="1:11" x14ac:dyDescent="0.25">
      <c r="A35" s="23">
        <v>42590</v>
      </c>
      <c r="B35" s="26" t="s">
        <v>31</v>
      </c>
      <c r="C35" s="26" t="s">
        <v>32</v>
      </c>
      <c r="D35" s="35" t="s">
        <v>23</v>
      </c>
      <c r="E35" s="36">
        <v>5154.51</v>
      </c>
      <c r="F35" s="37">
        <v>0</v>
      </c>
      <c r="G35" s="37">
        <v>0</v>
      </c>
      <c r="H35" s="21">
        <f t="shared" si="4"/>
        <v>5154.51</v>
      </c>
      <c r="I35" s="33" t="s">
        <v>110</v>
      </c>
      <c r="J35" s="25">
        <v>0</v>
      </c>
      <c r="K35" s="25">
        <f t="shared" si="0"/>
        <v>5154.51</v>
      </c>
    </row>
    <row r="36" spans="1:11" x14ac:dyDescent="0.25">
      <c r="A36" s="23">
        <v>42605</v>
      </c>
      <c r="B36" s="26" t="s">
        <v>31</v>
      </c>
      <c r="C36" s="26" t="s">
        <v>32</v>
      </c>
      <c r="D36" s="35" t="s">
        <v>23</v>
      </c>
      <c r="E36" s="36">
        <v>1448.28</v>
      </c>
      <c r="F36" s="21">
        <v>0</v>
      </c>
      <c r="G36" s="21">
        <v>0</v>
      </c>
      <c r="H36" s="21">
        <f t="shared" si="4"/>
        <v>1448.28</v>
      </c>
      <c r="I36" s="33" t="s">
        <v>90</v>
      </c>
      <c r="J36" s="25">
        <v>0</v>
      </c>
      <c r="K36" s="25">
        <f t="shared" si="0"/>
        <v>1448.28</v>
      </c>
    </row>
    <row r="37" spans="1:11" x14ac:dyDescent="0.25">
      <c r="A37" s="23">
        <v>42605</v>
      </c>
      <c r="B37" s="26" t="s">
        <v>31</v>
      </c>
      <c r="C37" s="26" t="s">
        <v>32</v>
      </c>
      <c r="D37" s="35" t="s">
        <v>23</v>
      </c>
      <c r="E37" s="36">
        <v>3035</v>
      </c>
      <c r="F37" s="21">
        <v>0</v>
      </c>
      <c r="G37" s="21">
        <v>0</v>
      </c>
      <c r="H37" s="21">
        <f t="shared" si="4"/>
        <v>3035</v>
      </c>
      <c r="I37" s="33" t="s">
        <v>91</v>
      </c>
      <c r="J37" s="25">
        <v>0</v>
      </c>
      <c r="K37" s="25">
        <f t="shared" si="0"/>
        <v>3035</v>
      </c>
    </row>
    <row r="38" spans="1:11" x14ac:dyDescent="0.25">
      <c r="A38" s="23">
        <v>42605</v>
      </c>
      <c r="B38" s="26" t="s">
        <v>94</v>
      </c>
      <c r="C38" s="26" t="s">
        <v>93</v>
      </c>
      <c r="D38" s="35" t="s">
        <v>92</v>
      </c>
      <c r="E38" s="36">
        <v>1207.68</v>
      </c>
      <c r="F38" s="21">
        <v>0</v>
      </c>
      <c r="G38" s="21">
        <v>0</v>
      </c>
      <c r="H38" s="21">
        <f t="shared" si="4"/>
        <v>1207.68</v>
      </c>
      <c r="I38" s="33" t="s">
        <v>95</v>
      </c>
      <c r="J38" s="25">
        <v>0</v>
      </c>
      <c r="K38" s="25">
        <f t="shared" si="0"/>
        <v>1207.68</v>
      </c>
    </row>
    <row r="39" spans="1:11" x14ac:dyDescent="0.25">
      <c r="A39" s="23">
        <v>42608</v>
      </c>
      <c r="B39" s="26" t="s">
        <v>96</v>
      </c>
      <c r="C39" s="26" t="s">
        <v>97</v>
      </c>
      <c r="D39" s="35" t="s">
        <v>98</v>
      </c>
      <c r="E39" s="36">
        <v>13086.51</v>
      </c>
      <c r="F39" s="21">
        <v>0</v>
      </c>
      <c r="G39" s="21">
        <v>0</v>
      </c>
      <c r="H39" s="21">
        <f t="shared" si="4"/>
        <v>13086.51</v>
      </c>
      <c r="I39" s="33" t="s">
        <v>99</v>
      </c>
      <c r="J39" s="25">
        <v>0</v>
      </c>
      <c r="K39" s="25">
        <f t="shared" si="0"/>
        <v>13086.51</v>
      </c>
    </row>
    <row r="40" spans="1:11" x14ac:dyDescent="0.25">
      <c r="A40" s="23">
        <v>42608</v>
      </c>
      <c r="B40" s="26" t="s">
        <v>96</v>
      </c>
      <c r="C40" s="26" t="s">
        <v>97</v>
      </c>
      <c r="D40" s="35" t="s">
        <v>98</v>
      </c>
      <c r="E40" s="36">
        <v>957.14</v>
      </c>
      <c r="F40" s="21">
        <v>0</v>
      </c>
      <c r="G40" s="21">
        <v>0</v>
      </c>
      <c r="H40" s="21">
        <f t="shared" si="4"/>
        <v>957.14</v>
      </c>
      <c r="I40" s="33" t="s">
        <v>100</v>
      </c>
      <c r="J40" s="25">
        <v>0</v>
      </c>
      <c r="K40" s="25">
        <f t="shared" si="0"/>
        <v>957.14</v>
      </c>
    </row>
    <row r="41" spans="1:11" x14ac:dyDescent="0.25">
      <c r="A41" s="23">
        <v>42611</v>
      </c>
      <c r="B41" s="47" t="s">
        <v>30</v>
      </c>
      <c r="C41" s="26" t="s">
        <v>102</v>
      </c>
      <c r="D41" s="27" t="s">
        <v>103</v>
      </c>
      <c r="E41" s="34">
        <v>705.06</v>
      </c>
      <c r="F41" s="21">
        <v>0</v>
      </c>
      <c r="G41" s="21">
        <v>32.700000000000003</v>
      </c>
      <c r="H41" s="21">
        <f t="shared" si="4"/>
        <v>737.76</v>
      </c>
      <c r="I41" s="33" t="s">
        <v>104</v>
      </c>
      <c r="J41" s="25">
        <v>0</v>
      </c>
      <c r="K41" s="25">
        <f t="shared" si="0"/>
        <v>737.76</v>
      </c>
    </row>
    <row r="42" spans="1:11" x14ac:dyDescent="0.25">
      <c r="A42" s="23">
        <v>42611</v>
      </c>
      <c r="B42" s="47" t="s">
        <v>30</v>
      </c>
      <c r="C42" s="26" t="s">
        <v>102</v>
      </c>
      <c r="D42" s="27" t="s">
        <v>103</v>
      </c>
      <c r="E42" s="21">
        <v>799.97</v>
      </c>
      <c r="F42" s="21">
        <v>0</v>
      </c>
      <c r="G42" s="21">
        <v>0</v>
      </c>
      <c r="H42" s="21">
        <f>E42+G43</f>
        <v>799.97</v>
      </c>
      <c r="I42" s="33" t="s">
        <v>105</v>
      </c>
      <c r="J42" s="25">
        <v>0</v>
      </c>
      <c r="K42" s="25">
        <f t="shared" si="0"/>
        <v>799.97</v>
      </c>
    </row>
    <row r="43" spans="1:11" x14ac:dyDescent="0.25">
      <c r="A43" s="23">
        <v>42612</v>
      </c>
      <c r="B43" s="26" t="s">
        <v>106</v>
      </c>
      <c r="C43" s="26" t="s">
        <v>29</v>
      </c>
      <c r="D43" s="35" t="s">
        <v>20</v>
      </c>
      <c r="E43" s="21">
        <v>1364</v>
      </c>
      <c r="F43" s="21">
        <v>0</v>
      </c>
      <c r="G43" s="21">
        <v>0</v>
      </c>
      <c r="H43" s="21">
        <f t="shared" ref="H43" si="5">E43+G45</f>
        <v>1488.12</v>
      </c>
      <c r="I43" s="33" t="s">
        <v>107</v>
      </c>
      <c r="J43" s="25">
        <v>0</v>
      </c>
      <c r="K43" s="25">
        <f t="shared" ref="K43:K85" si="6">E43+G43</f>
        <v>1364</v>
      </c>
    </row>
    <row r="44" spans="1:11" x14ac:dyDescent="0.25">
      <c r="A44" s="23">
        <v>42593</v>
      </c>
      <c r="B44" s="26" t="s">
        <v>106</v>
      </c>
      <c r="C44" s="26" t="s">
        <v>29</v>
      </c>
      <c r="D44" s="35" t="s">
        <v>20</v>
      </c>
      <c r="E44" s="21">
        <v>2260.89</v>
      </c>
      <c r="F44" s="21">
        <v>0</v>
      </c>
      <c r="G44" s="21">
        <v>24.11</v>
      </c>
      <c r="H44" s="21">
        <f>E44+G44</f>
        <v>2285</v>
      </c>
      <c r="I44" s="33" t="s">
        <v>108</v>
      </c>
      <c r="J44" s="25">
        <v>0</v>
      </c>
      <c r="K44" s="25">
        <f t="shared" si="6"/>
        <v>2285</v>
      </c>
    </row>
    <row r="45" spans="1:11" x14ac:dyDescent="0.25">
      <c r="A45" s="23">
        <v>42593</v>
      </c>
      <c r="B45" s="26" t="s">
        <v>106</v>
      </c>
      <c r="C45" s="26" t="s">
        <v>29</v>
      </c>
      <c r="D45" s="35" t="s">
        <v>20</v>
      </c>
      <c r="E45" s="21">
        <v>1817.71</v>
      </c>
      <c r="F45" s="21">
        <v>0</v>
      </c>
      <c r="G45" s="21">
        <v>124.12</v>
      </c>
      <c r="H45" s="21">
        <f>E45+G45</f>
        <v>1941.83</v>
      </c>
      <c r="I45" s="33" t="s">
        <v>109</v>
      </c>
      <c r="J45" s="25">
        <v>0</v>
      </c>
      <c r="K45" s="25">
        <f t="shared" si="6"/>
        <v>1941.83</v>
      </c>
    </row>
    <row r="46" spans="1:11" x14ac:dyDescent="0.25">
      <c r="A46" s="23">
        <v>42581</v>
      </c>
      <c r="B46" s="26" t="s">
        <v>111</v>
      </c>
      <c r="C46" s="26" t="s">
        <v>112</v>
      </c>
      <c r="D46" s="35" t="s">
        <v>113</v>
      </c>
      <c r="E46" s="21">
        <v>2350.7800000000002</v>
      </c>
      <c r="F46" s="21">
        <v>0</v>
      </c>
      <c r="G46" s="21">
        <v>0</v>
      </c>
      <c r="H46" s="21">
        <f t="shared" si="1"/>
        <v>2350.7800000000002</v>
      </c>
      <c r="I46" s="33" t="s">
        <v>114</v>
      </c>
      <c r="J46" s="25">
        <v>0</v>
      </c>
      <c r="K46" s="25">
        <f t="shared" si="6"/>
        <v>2350.7800000000002</v>
      </c>
    </row>
    <row r="47" spans="1:11" x14ac:dyDescent="0.25">
      <c r="A47" s="23">
        <v>42581</v>
      </c>
      <c r="B47" s="26" t="s">
        <v>111</v>
      </c>
      <c r="C47" s="26" t="s">
        <v>112</v>
      </c>
      <c r="D47" s="35" t="s">
        <v>113</v>
      </c>
      <c r="E47" s="21">
        <v>2058.59</v>
      </c>
      <c r="F47" s="21">
        <v>0</v>
      </c>
      <c r="G47" s="21">
        <v>150</v>
      </c>
      <c r="H47" s="21">
        <f t="shared" si="1"/>
        <v>2208.59</v>
      </c>
      <c r="I47" s="33" t="s">
        <v>115</v>
      </c>
      <c r="J47" s="25">
        <v>0</v>
      </c>
      <c r="K47" s="25">
        <f t="shared" si="6"/>
        <v>2208.59</v>
      </c>
    </row>
    <row r="48" spans="1:11" x14ac:dyDescent="0.25">
      <c r="A48" s="23">
        <v>42583</v>
      </c>
      <c r="B48" s="26" t="s">
        <v>111</v>
      </c>
      <c r="C48" s="26" t="s">
        <v>112</v>
      </c>
      <c r="D48" s="35" t="s">
        <v>113</v>
      </c>
      <c r="E48" s="21">
        <v>454.38</v>
      </c>
      <c r="F48" s="21">
        <v>0</v>
      </c>
      <c r="G48" s="21">
        <v>0</v>
      </c>
      <c r="H48" s="21">
        <f t="shared" si="1"/>
        <v>454.38</v>
      </c>
      <c r="I48" s="33" t="s">
        <v>116</v>
      </c>
      <c r="J48" s="25">
        <v>0</v>
      </c>
      <c r="K48" s="25">
        <f t="shared" si="6"/>
        <v>454.38</v>
      </c>
    </row>
    <row r="49" spans="1:11" x14ac:dyDescent="0.25">
      <c r="A49" s="23">
        <v>42593</v>
      </c>
      <c r="B49" s="26" t="s">
        <v>117</v>
      </c>
      <c r="C49" s="26" t="s">
        <v>118</v>
      </c>
      <c r="D49" s="35" t="s">
        <v>119</v>
      </c>
      <c r="E49" s="21">
        <v>1874.44</v>
      </c>
      <c r="F49" s="21">
        <v>0</v>
      </c>
      <c r="G49" s="21">
        <v>0</v>
      </c>
      <c r="H49" s="21">
        <f t="shared" si="1"/>
        <v>1874.44</v>
      </c>
      <c r="I49" s="33" t="s">
        <v>120</v>
      </c>
      <c r="J49" s="25">
        <v>0</v>
      </c>
      <c r="K49" s="25">
        <f t="shared" si="6"/>
        <v>1874.44</v>
      </c>
    </row>
    <row r="50" spans="1:11" x14ac:dyDescent="0.25">
      <c r="A50" s="23">
        <v>42601</v>
      </c>
      <c r="B50" s="26" t="s">
        <v>117</v>
      </c>
      <c r="C50" s="26" t="s">
        <v>118</v>
      </c>
      <c r="D50" s="20" t="s">
        <v>119</v>
      </c>
      <c r="E50" s="21">
        <v>4812.5</v>
      </c>
      <c r="F50" s="21">
        <v>0</v>
      </c>
      <c r="G50" s="21">
        <v>0</v>
      </c>
      <c r="H50" s="21">
        <f t="shared" si="1"/>
        <v>4812.5</v>
      </c>
      <c r="I50" s="33" t="s">
        <v>121</v>
      </c>
      <c r="J50" s="25">
        <v>0</v>
      </c>
      <c r="K50" s="25">
        <f t="shared" si="6"/>
        <v>4812.5</v>
      </c>
    </row>
    <row r="51" spans="1:11" x14ac:dyDescent="0.25">
      <c r="A51" s="23">
        <v>42612</v>
      </c>
      <c r="B51" s="26" t="s">
        <v>117</v>
      </c>
      <c r="C51" s="26" t="s">
        <v>118</v>
      </c>
      <c r="D51" s="35" t="s">
        <v>119</v>
      </c>
      <c r="E51" s="21">
        <v>2042.86</v>
      </c>
      <c r="F51" s="21">
        <v>0</v>
      </c>
      <c r="G51" s="21">
        <v>0</v>
      </c>
      <c r="H51" s="21">
        <f t="shared" si="1"/>
        <v>2042.86</v>
      </c>
      <c r="I51" s="33" t="s">
        <v>122</v>
      </c>
      <c r="J51" s="25">
        <v>0</v>
      </c>
      <c r="K51" s="25">
        <f t="shared" si="6"/>
        <v>2042.86</v>
      </c>
    </row>
    <row r="52" spans="1:11" x14ac:dyDescent="0.25">
      <c r="A52" s="23">
        <v>42597</v>
      </c>
      <c r="B52" s="26" t="s">
        <v>338</v>
      </c>
      <c r="C52" s="26" t="s">
        <v>339</v>
      </c>
      <c r="D52" s="35" t="s">
        <v>340</v>
      </c>
      <c r="E52" s="21">
        <v>2247.16</v>
      </c>
      <c r="F52" s="21">
        <v>0</v>
      </c>
      <c r="G52" s="21">
        <v>0</v>
      </c>
      <c r="H52" s="21">
        <f t="shared" si="1"/>
        <v>2247.16</v>
      </c>
      <c r="I52" s="33" t="s">
        <v>341</v>
      </c>
      <c r="J52" s="25">
        <v>0</v>
      </c>
      <c r="K52" s="25">
        <f t="shared" si="6"/>
        <v>2247.16</v>
      </c>
    </row>
    <row r="53" spans="1:11" x14ac:dyDescent="0.25">
      <c r="A53" s="23">
        <v>42590</v>
      </c>
      <c r="B53" s="26" t="s">
        <v>33</v>
      </c>
      <c r="C53" s="26" t="s">
        <v>34</v>
      </c>
      <c r="D53" s="35" t="s">
        <v>123</v>
      </c>
      <c r="E53" s="21">
        <v>1572</v>
      </c>
      <c r="F53" s="21">
        <v>0</v>
      </c>
      <c r="G53" s="21">
        <v>0</v>
      </c>
      <c r="H53" s="21">
        <f t="shared" si="1"/>
        <v>1572</v>
      </c>
      <c r="I53" s="33" t="s">
        <v>124</v>
      </c>
      <c r="J53" s="25">
        <v>0</v>
      </c>
      <c r="K53" s="25">
        <f t="shared" si="6"/>
        <v>1572</v>
      </c>
    </row>
    <row r="54" spans="1:11" x14ac:dyDescent="0.25">
      <c r="A54" s="23">
        <v>42600</v>
      </c>
      <c r="B54" s="26" t="s">
        <v>35</v>
      </c>
      <c r="C54" s="26" t="s">
        <v>125</v>
      </c>
      <c r="D54" s="35" t="s">
        <v>24</v>
      </c>
      <c r="E54" s="21">
        <v>7073.6</v>
      </c>
      <c r="F54" s="21">
        <v>0</v>
      </c>
      <c r="G54" s="21">
        <v>92.14</v>
      </c>
      <c r="H54" s="21">
        <f t="shared" si="1"/>
        <v>7165.7400000000007</v>
      </c>
      <c r="I54" s="33" t="s">
        <v>126</v>
      </c>
      <c r="J54" s="25">
        <v>0</v>
      </c>
      <c r="K54" s="25">
        <f t="shared" si="6"/>
        <v>7165.7400000000007</v>
      </c>
    </row>
    <row r="55" spans="1:11" x14ac:dyDescent="0.25">
      <c r="A55" s="23">
        <v>42584</v>
      </c>
      <c r="B55" s="26" t="s">
        <v>127</v>
      </c>
      <c r="C55" s="26" t="s">
        <v>128</v>
      </c>
      <c r="D55" s="35" t="s">
        <v>129</v>
      </c>
      <c r="E55" s="21">
        <v>2062.4299999999998</v>
      </c>
      <c r="F55" s="21">
        <v>0</v>
      </c>
      <c r="G55" s="21">
        <v>0</v>
      </c>
      <c r="H55" s="21">
        <f t="shared" si="1"/>
        <v>2062.4299999999998</v>
      </c>
      <c r="I55" s="33" t="s">
        <v>130</v>
      </c>
      <c r="J55" s="25">
        <v>0</v>
      </c>
      <c r="K55" s="25">
        <f t="shared" si="6"/>
        <v>2062.4299999999998</v>
      </c>
    </row>
    <row r="56" spans="1:11" x14ac:dyDescent="0.25">
      <c r="A56" s="23">
        <v>42604</v>
      </c>
      <c r="B56" s="26" t="s">
        <v>127</v>
      </c>
      <c r="C56" s="26" t="s">
        <v>128</v>
      </c>
      <c r="D56" s="35" t="s">
        <v>129</v>
      </c>
      <c r="E56" s="21">
        <v>1806.99</v>
      </c>
      <c r="F56" s="21">
        <v>0</v>
      </c>
      <c r="G56" s="21">
        <v>0</v>
      </c>
      <c r="H56" s="21">
        <f t="shared" si="1"/>
        <v>1806.99</v>
      </c>
      <c r="I56" s="33" t="s">
        <v>131</v>
      </c>
      <c r="J56" s="25">
        <v>0</v>
      </c>
      <c r="K56" s="25">
        <f t="shared" si="6"/>
        <v>1806.99</v>
      </c>
    </row>
    <row r="57" spans="1:11" x14ac:dyDescent="0.25">
      <c r="A57" s="23">
        <v>42606</v>
      </c>
      <c r="B57" s="26" t="s">
        <v>132</v>
      </c>
      <c r="C57" s="26" t="s">
        <v>133</v>
      </c>
      <c r="D57" s="35" t="s">
        <v>134</v>
      </c>
      <c r="E57" s="21">
        <v>896.31</v>
      </c>
      <c r="F57" s="21">
        <v>0</v>
      </c>
      <c r="G57" s="21">
        <v>0</v>
      </c>
      <c r="H57" s="21">
        <f t="shared" si="1"/>
        <v>896.31</v>
      </c>
      <c r="I57" s="33" t="s">
        <v>135</v>
      </c>
      <c r="J57" s="25">
        <v>0</v>
      </c>
      <c r="K57" s="25">
        <f t="shared" si="6"/>
        <v>896.31</v>
      </c>
    </row>
    <row r="58" spans="1:11" x14ac:dyDescent="0.25">
      <c r="A58" s="23">
        <v>42605</v>
      </c>
      <c r="B58" s="26" t="s">
        <v>136</v>
      </c>
      <c r="C58" s="26" t="s">
        <v>137</v>
      </c>
      <c r="D58" s="35" t="s">
        <v>138</v>
      </c>
      <c r="E58" s="21">
        <v>4614.59</v>
      </c>
      <c r="F58" s="21">
        <v>0</v>
      </c>
      <c r="G58" s="21">
        <v>88.73</v>
      </c>
      <c r="H58" s="21">
        <f>E58+G58</f>
        <v>4703.32</v>
      </c>
      <c r="I58" s="33" t="s">
        <v>139</v>
      </c>
      <c r="J58" s="25">
        <v>0</v>
      </c>
      <c r="K58" s="25">
        <f t="shared" si="6"/>
        <v>4703.32</v>
      </c>
    </row>
    <row r="59" spans="1:11" x14ac:dyDescent="0.25">
      <c r="A59" s="23">
        <v>42593</v>
      </c>
      <c r="B59" s="26" t="s">
        <v>36</v>
      </c>
      <c r="C59" s="26" t="s">
        <v>37</v>
      </c>
      <c r="D59" s="35" t="s">
        <v>157</v>
      </c>
      <c r="E59" s="21">
        <v>4995.6000000000004</v>
      </c>
      <c r="F59" s="21">
        <v>0</v>
      </c>
      <c r="G59" s="21">
        <v>0</v>
      </c>
      <c r="H59" s="21">
        <f>E59+G59</f>
        <v>4995.6000000000004</v>
      </c>
      <c r="I59" s="33" t="s">
        <v>158</v>
      </c>
      <c r="J59" s="25">
        <v>0</v>
      </c>
      <c r="K59" s="25">
        <f t="shared" si="6"/>
        <v>4995.6000000000004</v>
      </c>
    </row>
    <row r="60" spans="1:11" x14ac:dyDescent="0.25">
      <c r="A60" s="23">
        <v>42605</v>
      </c>
      <c r="B60" s="26" t="s">
        <v>36</v>
      </c>
      <c r="C60" s="26" t="s">
        <v>37</v>
      </c>
      <c r="D60" s="35" t="s">
        <v>21</v>
      </c>
      <c r="E60" s="21">
        <v>4108.57</v>
      </c>
      <c r="F60" s="21">
        <v>0</v>
      </c>
      <c r="G60" s="21">
        <v>0</v>
      </c>
      <c r="H60" s="21">
        <f t="shared" si="1"/>
        <v>4108.57</v>
      </c>
      <c r="I60" s="33" t="s">
        <v>140</v>
      </c>
      <c r="J60" s="25">
        <v>0</v>
      </c>
      <c r="K60" s="25">
        <f t="shared" si="6"/>
        <v>4108.57</v>
      </c>
    </row>
    <row r="61" spans="1:11" x14ac:dyDescent="0.25">
      <c r="A61" s="23">
        <v>42597</v>
      </c>
      <c r="B61" s="26" t="s">
        <v>36</v>
      </c>
      <c r="C61" s="26" t="s">
        <v>37</v>
      </c>
      <c r="D61" s="35" t="s">
        <v>21</v>
      </c>
      <c r="E61" s="21">
        <v>2589.29</v>
      </c>
      <c r="F61" s="21">
        <v>0</v>
      </c>
      <c r="G61" s="21">
        <v>0</v>
      </c>
      <c r="H61" s="21">
        <f t="shared" si="1"/>
        <v>2589.29</v>
      </c>
      <c r="I61" s="33" t="s">
        <v>367</v>
      </c>
      <c r="J61" s="25">
        <v>0</v>
      </c>
      <c r="K61" s="25">
        <f t="shared" si="6"/>
        <v>2589.29</v>
      </c>
    </row>
    <row r="62" spans="1:11" x14ac:dyDescent="0.25">
      <c r="A62" s="23">
        <v>42608</v>
      </c>
      <c r="B62" s="26" t="s">
        <v>141</v>
      </c>
      <c r="C62" s="26" t="s">
        <v>142</v>
      </c>
      <c r="D62" s="35" t="s">
        <v>143</v>
      </c>
      <c r="E62" s="21">
        <v>5732.87</v>
      </c>
      <c r="F62" s="21">
        <v>0</v>
      </c>
      <c r="G62" s="21">
        <v>0</v>
      </c>
      <c r="H62" s="21">
        <f t="shared" si="1"/>
        <v>5732.87</v>
      </c>
      <c r="I62" s="33" t="s">
        <v>144</v>
      </c>
      <c r="J62" s="25">
        <v>0</v>
      </c>
      <c r="K62" s="25">
        <f t="shared" si="6"/>
        <v>5732.87</v>
      </c>
    </row>
    <row r="63" spans="1:11" x14ac:dyDescent="0.25">
      <c r="A63" s="23">
        <v>42608</v>
      </c>
      <c r="B63" s="26" t="s">
        <v>145</v>
      </c>
      <c r="C63" s="26" t="s">
        <v>146</v>
      </c>
      <c r="D63" s="35" t="s">
        <v>147</v>
      </c>
      <c r="E63" s="21">
        <v>3205.76</v>
      </c>
      <c r="F63" s="21">
        <v>0</v>
      </c>
      <c r="G63" s="21">
        <v>288.69</v>
      </c>
      <c r="H63" s="21">
        <f>E63+G63</f>
        <v>3494.4500000000003</v>
      </c>
      <c r="I63" s="33" t="s">
        <v>148</v>
      </c>
      <c r="J63" s="25">
        <v>0</v>
      </c>
      <c r="K63" s="25">
        <f t="shared" si="6"/>
        <v>3494.4500000000003</v>
      </c>
    </row>
    <row r="64" spans="1:11" x14ac:dyDescent="0.25">
      <c r="A64" s="23">
        <v>42608</v>
      </c>
      <c r="B64" s="26" t="s">
        <v>145</v>
      </c>
      <c r="C64" s="26" t="s">
        <v>146</v>
      </c>
      <c r="D64" s="35" t="s">
        <v>147</v>
      </c>
      <c r="E64" s="21">
        <v>3678.3</v>
      </c>
      <c r="F64" s="21">
        <v>0</v>
      </c>
      <c r="G64" s="21">
        <v>318.95</v>
      </c>
      <c r="H64" s="21">
        <f>E64+G64</f>
        <v>3997.25</v>
      </c>
      <c r="I64" s="33" t="s">
        <v>149</v>
      </c>
      <c r="J64" s="25">
        <v>0</v>
      </c>
      <c r="K64" s="25">
        <f t="shared" si="6"/>
        <v>3997.25</v>
      </c>
    </row>
    <row r="65" spans="1:11" x14ac:dyDescent="0.25">
      <c r="A65" s="23">
        <v>42608</v>
      </c>
      <c r="B65" s="26" t="s">
        <v>145</v>
      </c>
      <c r="C65" s="26" t="s">
        <v>146</v>
      </c>
      <c r="D65" s="35" t="s">
        <v>147</v>
      </c>
      <c r="E65" s="21">
        <v>2525.65</v>
      </c>
      <c r="F65" s="21">
        <v>0</v>
      </c>
      <c r="G65" s="21">
        <v>261.08</v>
      </c>
      <c r="H65" s="21">
        <f>E65+G65</f>
        <v>2786.73</v>
      </c>
      <c r="I65" s="33" t="s">
        <v>150</v>
      </c>
      <c r="J65" s="25">
        <v>0</v>
      </c>
      <c r="K65" s="25">
        <f t="shared" si="6"/>
        <v>2786.73</v>
      </c>
    </row>
    <row r="66" spans="1:11" x14ac:dyDescent="0.25">
      <c r="A66" s="23">
        <v>42608</v>
      </c>
      <c r="B66" s="26" t="s">
        <v>145</v>
      </c>
      <c r="C66" s="26" t="s">
        <v>146</v>
      </c>
      <c r="D66" s="35" t="s">
        <v>147</v>
      </c>
      <c r="E66" s="21">
        <v>2359.7600000000002</v>
      </c>
      <c r="F66" s="21">
        <v>0</v>
      </c>
      <c r="G66" s="21">
        <v>150</v>
      </c>
      <c r="H66" s="21">
        <f t="shared" si="1"/>
        <v>2509.7600000000002</v>
      </c>
      <c r="I66" s="33" t="s">
        <v>151</v>
      </c>
      <c r="J66" s="25">
        <v>0</v>
      </c>
      <c r="K66" s="25">
        <f t="shared" si="6"/>
        <v>2509.7600000000002</v>
      </c>
    </row>
    <row r="67" spans="1:11" x14ac:dyDescent="0.25">
      <c r="A67" s="23">
        <v>42608</v>
      </c>
      <c r="B67" s="26" t="s">
        <v>145</v>
      </c>
      <c r="C67" s="26" t="s">
        <v>146</v>
      </c>
      <c r="D67" s="35" t="s">
        <v>147</v>
      </c>
      <c r="E67" s="37">
        <v>4496.79</v>
      </c>
      <c r="F67" s="37">
        <v>0</v>
      </c>
      <c r="G67" s="37">
        <v>539.61</v>
      </c>
      <c r="H67" s="21">
        <f t="shared" si="1"/>
        <v>5036.3999999999996</v>
      </c>
      <c r="I67" s="33" t="s">
        <v>152</v>
      </c>
      <c r="J67" s="25">
        <v>0</v>
      </c>
      <c r="K67" s="25">
        <f t="shared" si="6"/>
        <v>5036.3999999999996</v>
      </c>
    </row>
    <row r="68" spans="1:11" x14ac:dyDescent="0.25">
      <c r="A68" s="23">
        <v>42609</v>
      </c>
      <c r="B68" s="26" t="s">
        <v>153</v>
      </c>
      <c r="C68" s="26"/>
      <c r="D68" s="35" t="s">
        <v>154</v>
      </c>
      <c r="E68" s="37">
        <v>1266.8499999999999</v>
      </c>
      <c r="F68" s="37">
        <v>0</v>
      </c>
      <c r="G68" s="37">
        <v>0</v>
      </c>
      <c r="H68" s="21">
        <f t="shared" si="1"/>
        <v>1266.8499999999999</v>
      </c>
      <c r="I68" s="33" t="s">
        <v>155</v>
      </c>
      <c r="J68" s="25">
        <v>0</v>
      </c>
      <c r="K68" s="25">
        <f t="shared" si="6"/>
        <v>1266.8499999999999</v>
      </c>
    </row>
    <row r="69" spans="1:11" x14ac:dyDescent="0.25">
      <c r="A69" s="23">
        <v>42609</v>
      </c>
      <c r="B69" s="26" t="s">
        <v>153</v>
      </c>
      <c r="C69" s="26"/>
      <c r="D69" s="35" t="s">
        <v>154</v>
      </c>
      <c r="E69" s="37">
        <v>2066.9299999999998</v>
      </c>
      <c r="F69" s="37">
        <v>0</v>
      </c>
      <c r="G69" s="37">
        <v>0</v>
      </c>
      <c r="H69" s="21">
        <f t="shared" si="1"/>
        <v>2066.9299999999998</v>
      </c>
      <c r="I69" s="33" t="s">
        <v>156</v>
      </c>
      <c r="J69" s="25">
        <v>0</v>
      </c>
      <c r="K69" s="25">
        <f t="shared" si="6"/>
        <v>2066.9299999999998</v>
      </c>
    </row>
    <row r="70" spans="1:11" x14ac:dyDescent="0.25">
      <c r="A70" s="30">
        <v>42597</v>
      </c>
      <c r="B70" s="26" t="s">
        <v>334</v>
      </c>
      <c r="C70" s="26" t="s">
        <v>335</v>
      </c>
      <c r="D70" s="35" t="s">
        <v>336</v>
      </c>
      <c r="E70" s="37">
        <v>4709.5600000000004</v>
      </c>
      <c r="F70" s="37">
        <v>0</v>
      </c>
      <c r="G70" s="37">
        <v>0</v>
      </c>
      <c r="H70" s="21">
        <f t="shared" si="1"/>
        <v>4709.5600000000004</v>
      </c>
      <c r="I70" s="33" t="s">
        <v>337</v>
      </c>
      <c r="J70" s="25">
        <v>0</v>
      </c>
      <c r="K70" s="25">
        <f t="shared" si="6"/>
        <v>4709.5600000000004</v>
      </c>
    </row>
    <row r="71" spans="1:11" x14ac:dyDescent="0.25">
      <c r="A71" s="30">
        <v>42586</v>
      </c>
      <c r="B71" s="47" t="s">
        <v>159</v>
      </c>
      <c r="C71" s="26" t="s">
        <v>160</v>
      </c>
      <c r="D71" s="27" t="s">
        <v>161</v>
      </c>
      <c r="E71" s="37">
        <v>1055.69</v>
      </c>
      <c r="F71" s="37">
        <v>0</v>
      </c>
      <c r="G71" s="37">
        <v>0</v>
      </c>
      <c r="H71" s="21">
        <f t="shared" si="1"/>
        <v>1055.69</v>
      </c>
      <c r="I71" s="33" t="s">
        <v>162</v>
      </c>
      <c r="J71" s="25">
        <v>0</v>
      </c>
      <c r="K71" s="25">
        <f t="shared" si="6"/>
        <v>1055.69</v>
      </c>
    </row>
    <row r="72" spans="1:11" x14ac:dyDescent="0.25">
      <c r="A72" s="30">
        <v>42586</v>
      </c>
      <c r="B72" s="47" t="s">
        <v>159</v>
      </c>
      <c r="C72" s="26" t="s">
        <v>160</v>
      </c>
      <c r="D72" s="27" t="s">
        <v>161</v>
      </c>
      <c r="E72" s="21">
        <v>478.05</v>
      </c>
      <c r="F72" s="21">
        <v>0</v>
      </c>
      <c r="G72" s="21">
        <v>57.37</v>
      </c>
      <c r="H72" s="21">
        <f t="shared" si="1"/>
        <v>535.41999999999996</v>
      </c>
      <c r="I72" s="33" t="s">
        <v>163</v>
      </c>
      <c r="J72" s="25">
        <v>0</v>
      </c>
      <c r="K72" s="25">
        <f t="shared" si="6"/>
        <v>535.41999999999996</v>
      </c>
    </row>
    <row r="73" spans="1:11" x14ac:dyDescent="0.25">
      <c r="A73" s="30">
        <v>42586</v>
      </c>
      <c r="B73" s="47" t="s">
        <v>159</v>
      </c>
      <c r="C73" s="26" t="s">
        <v>160</v>
      </c>
      <c r="D73" s="27" t="s">
        <v>161</v>
      </c>
      <c r="E73" s="37">
        <v>2909.7</v>
      </c>
      <c r="F73" s="37">
        <v>0</v>
      </c>
      <c r="G73" s="37">
        <v>0</v>
      </c>
      <c r="H73" s="21">
        <f t="shared" si="1"/>
        <v>2909.7</v>
      </c>
      <c r="I73" s="33" t="s">
        <v>164</v>
      </c>
      <c r="J73" s="25">
        <v>0</v>
      </c>
      <c r="K73" s="25">
        <f t="shared" si="6"/>
        <v>2909.7</v>
      </c>
    </row>
    <row r="74" spans="1:11" x14ac:dyDescent="0.25">
      <c r="A74" s="30">
        <v>42595</v>
      </c>
      <c r="B74" s="51" t="s">
        <v>378</v>
      </c>
      <c r="C74" s="32" t="s">
        <v>379</v>
      </c>
      <c r="D74" s="27" t="s">
        <v>380</v>
      </c>
      <c r="E74" s="37">
        <v>3838.69</v>
      </c>
      <c r="F74" s="37">
        <v>0</v>
      </c>
      <c r="G74" s="37">
        <v>169.21</v>
      </c>
      <c r="H74" s="21">
        <f t="shared" si="1"/>
        <v>4007.9</v>
      </c>
      <c r="I74" s="33" t="s">
        <v>381</v>
      </c>
      <c r="J74" s="25">
        <v>0</v>
      </c>
      <c r="K74" s="25">
        <f t="shared" si="6"/>
        <v>4007.9</v>
      </c>
    </row>
    <row r="75" spans="1:11" x14ac:dyDescent="0.25">
      <c r="A75" s="30">
        <v>42595</v>
      </c>
      <c r="B75" s="51" t="s">
        <v>378</v>
      </c>
      <c r="C75" s="32" t="s">
        <v>379</v>
      </c>
      <c r="D75" s="27" t="s">
        <v>380</v>
      </c>
      <c r="E75" s="37">
        <v>2564.7800000000002</v>
      </c>
      <c r="F75" s="37">
        <v>0</v>
      </c>
      <c r="G75" s="37">
        <v>0</v>
      </c>
      <c r="H75" s="21">
        <f t="shared" si="1"/>
        <v>2564.7800000000002</v>
      </c>
      <c r="I75" s="33" t="s">
        <v>382</v>
      </c>
      <c r="J75" s="25">
        <v>0</v>
      </c>
      <c r="K75" s="25">
        <f t="shared" si="6"/>
        <v>2564.7800000000002</v>
      </c>
    </row>
    <row r="76" spans="1:11" x14ac:dyDescent="0.25">
      <c r="A76" s="30">
        <v>42595</v>
      </c>
      <c r="B76" s="51" t="s">
        <v>378</v>
      </c>
      <c r="C76" s="32" t="s">
        <v>379</v>
      </c>
      <c r="D76" s="27" t="s">
        <v>380</v>
      </c>
      <c r="E76" s="37">
        <v>2745.63</v>
      </c>
      <c r="F76" s="37">
        <v>0</v>
      </c>
      <c r="G76" s="37">
        <v>329.47</v>
      </c>
      <c r="H76" s="21">
        <f t="shared" si="1"/>
        <v>3075.1000000000004</v>
      </c>
      <c r="I76" s="33" t="s">
        <v>383</v>
      </c>
      <c r="J76" s="25">
        <v>0</v>
      </c>
      <c r="K76" s="25">
        <f t="shared" si="6"/>
        <v>3075.1000000000004</v>
      </c>
    </row>
    <row r="77" spans="1:11" x14ac:dyDescent="0.25">
      <c r="A77" s="30">
        <v>42595</v>
      </c>
      <c r="B77" s="51" t="s">
        <v>378</v>
      </c>
      <c r="C77" s="32" t="s">
        <v>379</v>
      </c>
      <c r="D77" s="27" t="s">
        <v>380</v>
      </c>
      <c r="E77" s="37">
        <v>3654.21</v>
      </c>
      <c r="F77" s="37">
        <v>0</v>
      </c>
      <c r="G77" s="37">
        <v>0</v>
      </c>
      <c r="H77" s="21">
        <f t="shared" si="1"/>
        <v>3654.21</v>
      </c>
      <c r="I77" s="33" t="s">
        <v>384</v>
      </c>
      <c r="J77" s="25">
        <v>0</v>
      </c>
      <c r="K77" s="25">
        <f t="shared" si="6"/>
        <v>3654.21</v>
      </c>
    </row>
    <row r="78" spans="1:11" x14ac:dyDescent="0.25">
      <c r="A78" s="30">
        <v>42601</v>
      </c>
      <c r="B78" s="32" t="s">
        <v>38</v>
      </c>
      <c r="C78" s="32" t="s">
        <v>39</v>
      </c>
      <c r="D78" s="35" t="s">
        <v>165</v>
      </c>
      <c r="E78" s="21">
        <v>879.08</v>
      </c>
      <c r="F78" s="21">
        <v>0</v>
      </c>
      <c r="G78" s="21">
        <v>0</v>
      </c>
      <c r="H78" s="21">
        <f t="shared" si="1"/>
        <v>879.08</v>
      </c>
      <c r="I78" s="33" t="s">
        <v>166</v>
      </c>
      <c r="J78" s="25">
        <v>0</v>
      </c>
      <c r="K78" s="25">
        <f t="shared" si="6"/>
        <v>879.08</v>
      </c>
    </row>
    <row r="79" spans="1:11" x14ac:dyDescent="0.25">
      <c r="A79" s="30">
        <v>42612</v>
      </c>
      <c r="B79" s="32" t="s">
        <v>167</v>
      </c>
      <c r="C79" s="32" t="s">
        <v>168</v>
      </c>
      <c r="D79" s="35" t="s">
        <v>169</v>
      </c>
      <c r="E79" s="21">
        <v>2750.91</v>
      </c>
      <c r="F79" s="21">
        <v>0</v>
      </c>
      <c r="G79" s="21">
        <v>0</v>
      </c>
      <c r="H79" s="21">
        <f t="shared" si="1"/>
        <v>2750.91</v>
      </c>
      <c r="I79" s="33" t="s">
        <v>170</v>
      </c>
      <c r="J79" s="25">
        <v>0</v>
      </c>
      <c r="K79" s="25">
        <f t="shared" si="6"/>
        <v>2750.91</v>
      </c>
    </row>
    <row r="80" spans="1:11" x14ac:dyDescent="0.25">
      <c r="A80" s="30">
        <v>42612</v>
      </c>
      <c r="B80" s="32" t="s">
        <v>167</v>
      </c>
      <c r="C80" s="32" t="s">
        <v>168</v>
      </c>
      <c r="D80" s="35" t="s">
        <v>169</v>
      </c>
      <c r="E80" s="21">
        <v>664.29</v>
      </c>
      <c r="F80" s="21">
        <v>0</v>
      </c>
      <c r="G80" s="21">
        <v>21.43</v>
      </c>
      <c r="H80" s="21">
        <f t="shared" si="1"/>
        <v>685.71999999999991</v>
      </c>
      <c r="I80" s="33" t="s">
        <v>171</v>
      </c>
      <c r="J80" s="25">
        <v>0</v>
      </c>
      <c r="K80" s="25">
        <f t="shared" si="6"/>
        <v>685.71999999999991</v>
      </c>
    </row>
    <row r="81" spans="1:12" x14ac:dyDescent="0.25">
      <c r="A81" s="30">
        <v>42593</v>
      </c>
      <c r="B81" s="32" t="s">
        <v>172</v>
      </c>
      <c r="C81" s="32" t="s">
        <v>173</v>
      </c>
      <c r="D81" s="35" t="s">
        <v>174</v>
      </c>
      <c r="E81" s="21">
        <v>222.87</v>
      </c>
      <c r="F81" s="21">
        <v>0</v>
      </c>
      <c r="G81" s="21">
        <v>0</v>
      </c>
      <c r="H81" s="21">
        <f t="shared" si="1"/>
        <v>222.87</v>
      </c>
      <c r="I81" s="33" t="s">
        <v>175</v>
      </c>
      <c r="J81" s="25">
        <v>0</v>
      </c>
      <c r="K81" s="25">
        <f t="shared" si="6"/>
        <v>222.87</v>
      </c>
    </row>
    <row r="82" spans="1:12" x14ac:dyDescent="0.25">
      <c r="A82" s="30">
        <v>42594</v>
      </c>
      <c r="B82" s="32" t="s">
        <v>387</v>
      </c>
      <c r="C82" s="32" t="s">
        <v>392</v>
      </c>
      <c r="D82" s="35" t="s">
        <v>388</v>
      </c>
      <c r="E82" s="21">
        <v>1196.3499999999999</v>
      </c>
      <c r="F82" s="21">
        <v>0</v>
      </c>
      <c r="G82" s="21">
        <v>0</v>
      </c>
      <c r="H82" s="21">
        <f t="shared" si="1"/>
        <v>1196.3499999999999</v>
      </c>
      <c r="I82" s="33" t="s">
        <v>389</v>
      </c>
      <c r="J82" s="25">
        <v>0</v>
      </c>
      <c r="K82" s="25">
        <f t="shared" si="6"/>
        <v>1196.3499999999999</v>
      </c>
    </row>
    <row r="83" spans="1:12" x14ac:dyDescent="0.25">
      <c r="A83" s="30">
        <v>42605</v>
      </c>
      <c r="B83" s="32" t="s">
        <v>176</v>
      </c>
      <c r="C83" s="32" t="s">
        <v>177</v>
      </c>
      <c r="D83" s="35" t="s">
        <v>178</v>
      </c>
      <c r="E83" s="21">
        <v>1611.3</v>
      </c>
      <c r="F83" s="21">
        <v>0</v>
      </c>
      <c r="G83" s="21">
        <v>0</v>
      </c>
      <c r="H83" s="21">
        <f t="shared" si="1"/>
        <v>1611.3</v>
      </c>
      <c r="I83" s="33" t="s">
        <v>179</v>
      </c>
      <c r="J83" s="25">
        <v>0</v>
      </c>
      <c r="K83" s="25">
        <f t="shared" si="6"/>
        <v>1611.3</v>
      </c>
    </row>
    <row r="84" spans="1:12" x14ac:dyDescent="0.25">
      <c r="A84" s="30">
        <v>42605</v>
      </c>
      <c r="B84" s="32" t="s">
        <v>176</v>
      </c>
      <c r="C84" s="32" t="s">
        <v>177</v>
      </c>
      <c r="D84" s="35" t="s">
        <v>178</v>
      </c>
      <c r="E84" s="21">
        <v>2140.84</v>
      </c>
      <c r="F84" s="21">
        <v>0</v>
      </c>
      <c r="G84" s="21">
        <v>0</v>
      </c>
      <c r="H84" s="21">
        <f t="shared" si="1"/>
        <v>2140.84</v>
      </c>
      <c r="I84" s="33" t="s">
        <v>180</v>
      </c>
      <c r="J84" s="25">
        <v>0</v>
      </c>
      <c r="K84" s="25">
        <f t="shared" si="6"/>
        <v>2140.84</v>
      </c>
    </row>
    <row r="85" spans="1:12" x14ac:dyDescent="0.25">
      <c r="A85" s="30">
        <v>42598</v>
      </c>
      <c r="B85" s="32" t="s">
        <v>376</v>
      </c>
      <c r="C85" s="32" t="s">
        <v>181</v>
      </c>
      <c r="D85" s="35" t="s">
        <v>182</v>
      </c>
      <c r="E85" s="21">
        <v>3094.23</v>
      </c>
      <c r="F85" s="21">
        <v>0</v>
      </c>
      <c r="G85" s="21">
        <v>0</v>
      </c>
      <c r="H85" s="21">
        <f t="shared" si="1"/>
        <v>3094.23</v>
      </c>
      <c r="I85" s="33" t="s">
        <v>377</v>
      </c>
      <c r="J85" s="25">
        <v>0</v>
      </c>
      <c r="K85" s="25">
        <f t="shared" si="6"/>
        <v>3094.23</v>
      </c>
    </row>
    <row r="86" spans="1:12" x14ac:dyDescent="0.25">
      <c r="A86" s="30">
        <v>42607</v>
      </c>
      <c r="B86" s="32" t="s">
        <v>376</v>
      </c>
      <c r="C86" s="32" t="s">
        <v>181</v>
      </c>
      <c r="D86" s="35" t="s">
        <v>182</v>
      </c>
      <c r="E86" s="21">
        <v>1529.97</v>
      </c>
      <c r="F86" s="21">
        <v>0</v>
      </c>
      <c r="G86" s="21">
        <v>0</v>
      </c>
      <c r="H86" s="21">
        <f t="shared" si="1"/>
        <v>1529.97</v>
      </c>
      <c r="I86" s="33" t="s">
        <v>183</v>
      </c>
      <c r="J86" s="25">
        <v>0</v>
      </c>
      <c r="K86" s="25">
        <f t="shared" ref="K86:K153" si="7">E86+G86</f>
        <v>1529.97</v>
      </c>
      <c r="L86" s="31"/>
    </row>
    <row r="87" spans="1:12" x14ac:dyDescent="0.25">
      <c r="A87" s="30">
        <v>42607</v>
      </c>
      <c r="B87" s="32" t="s">
        <v>184</v>
      </c>
      <c r="C87" s="32" t="s">
        <v>185</v>
      </c>
      <c r="D87" s="35" t="s">
        <v>186</v>
      </c>
      <c r="E87" s="21">
        <v>1348</v>
      </c>
      <c r="F87" s="21">
        <v>0</v>
      </c>
      <c r="G87" s="21">
        <v>0</v>
      </c>
      <c r="H87" s="21">
        <f t="shared" si="1"/>
        <v>1348</v>
      </c>
      <c r="I87" s="33" t="s">
        <v>187</v>
      </c>
      <c r="J87" s="25">
        <v>0</v>
      </c>
      <c r="K87" s="25">
        <f t="shared" si="7"/>
        <v>1348</v>
      </c>
      <c r="L87" s="45"/>
    </row>
    <row r="88" spans="1:12" x14ac:dyDescent="0.25">
      <c r="A88" s="30">
        <v>42607</v>
      </c>
      <c r="B88" s="32" t="s">
        <v>184</v>
      </c>
      <c r="C88" s="32" t="s">
        <v>185</v>
      </c>
      <c r="D88" s="35" t="s">
        <v>186</v>
      </c>
      <c r="E88" s="21">
        <v>1318.57</v>
      </c>
      <c r="F88" s="21">
        <v>0</v>
      </c>
      <c r="G88" s="21">
        <v>0</v>
      </c>
      <c r="H88" s="21">
        <f t="shared" si="1"/>
        <v>1318.57</v>
      </c>
      <c r="I88" s="33" t="s">
        <v>188</v>
      </c>
      <c r="J88" s="25">
        <v>0</v>
      </c>
      <c r="K88" s="25">
        <f t="shared" si="7"/>
        <v>1318.57</v>
      </c>
      <c r="L88" s="45"/>
    </row>
    <row r="89" spans="1:12" x14ac:dyDescent="0.25">
      <c r="A89" s="30">
        <v>42611</v>
      </c>
      <c r="B89" s="32" t="s">
        <v>189</v>
      </c>
      <c r="C89" s="32" t="s">
        <v>190</v>
      </c>
      <c r="D89" s="35" t="s">
        <v>191</v>
      </c>
      <c r="E89" s="21">
        <v>1696</v>
      </c>
      <c r="F89" s="21">
        <v>0</v>
      </c>
      <c r="G89" s="21">
        <v>0</v>
      </c>
      <c r="H89" s="21">
        <f t="shared" si="1"/>
        <v>1696</v>
      </c>
      <c r="I89" s="33" t="s">
        <v>192</v>
      </c>
      <c r="J89" s="25">
        <v>0</v>
      </c>
      <c r="K89" s="25">
        <f t="shared" si="7"/>
        <v>1696</v>
      </c>
      <c r="L89" s="45"/>
    </row>
    <row r="90" spans="1:12" x14ac:dyDescent="0.25">
      <c r="A90" s="30">
        <v>42600</v>
      </c>
      <c r="B90" s="32" t="s">
        <v>193</v>
      </c>
      <c r="C90" s="32" t="s">
        <v>194</v>
      </c>
      <c r="D90" s="35" t="s">
        <v>195</v>
      </c>
      <c r="E90" s="21">
        <v>1159.5</v>
      </c>
      <c r="F90" s="21">
        <v>0</v>
      </c>
      <c r="G90" s="21">
        <v>32.700000000000003</v>
      </c>
      <c r="H90" s="21">
        <f t="shared" si="1"/>
        <v>1192.2</v>
      </c>
      <c r="I90" s="33" t="s">
        <v>196</v>
      </c>
      <c r="J90" s="25">
        <v>0</v>
      </c>
      <c r="K90" s="25">
        <f t="shared" si="7"/>
        <v>1192.2</v>
      </c>
      <c r="L90" s="45"/>
    </row>
    <row r="91" spans="1:12" x14ac:dyDescent="0.25">
      <c r="A91" s="30" t="s">
        <v>197</v>
      </c>
      <c r="B91" s="32" t="s">
        <v>198</v>
      </c>
      <c r="C91" s="32" t="s">
        <v>199</v>
      </c>
      <c r="D91" s="35" t="s">
        <v>200</v>
      </c>
      <c r="E91" s="21">
        <v>1120</v>
      </c>
      <c r="F91" s="21">
        <v>0</v>
      </c>
      <c r="G91" s="21">
        <v>0</v>
      </c>
      <c r="H91" s="21">
        <f t="shared" si="1"/>
        <v>1120</v>
      </c>
      <c r="I91" s="33" t="s">
        <v>201</v>
      </c>
      <c r="J91" s="25">
        <v>0</v>
      </c>
      <c r="K91" s="25">
        <f t="shared" si="7"/>
        <v>1120</v>
      </c>
      <c r="L91" s="45"/>
    </row>
    <row r="92" spans="1:12" x14ac:dyDescent="0.25">
      <c r="A92" s="30">
        <v>42597</v>
      </c>
      <c r="B92" s="32" t="s">
        <v>330</v>
      </c>
      <c r="C92" s="32" t="s">
        <v>331</v>
      </c>
      <c r="D92" s="35" t="s">
        <v>332</v>
      </c>
      <c r="E92" s="21">
        <v>2982.67</v>
      </c>
      <c r="F92" s="21">
        <v>0</v>
      </c>
      <c r="G92" s="21">
        <v>140.05000000000001</v>
      </c>
      <c r="H92" s="21">
        <f t="shared" si="1"/>
        <v>3122.7200000000003</v>
      </c>
      <c r="I92" s="33" t="s">
        <v>333</v>
      </c>
      <c r="J92" s="25">
        <v>0</v>
      </c>
      <c r="K92" s="25">
        <f t="shared" si="7"/>
        <v>3122.7200000000003</v>
      </c>
      <c r="L92" s="49"/>
    </row>
    <row r="93" spans="1:12" x14ac:dyDescent="0.25">
      <c r="A93" s="52">
        <v>42594</v>
      </c>
      <c r="B93" s="53" t="s">
        <v>385</v>
      </c>
      <c r="C93" s="53" t="s">
        <v>390</v>
      </c>
      <c r="D93" s="54" t="s">
        <v>386</v>
      </c>
      <c r="E93" s="55">
        <v>1241.6099999999999</v>
      </c>
      <c r="F93" s="55">
        <v>0</v>
      </c>
      <c r="G93" s="55">
        <v>57.37</v>
      </c>
      <c r="H93" s="55">
        <f t="shared" si="1"/>
        <v>1298.9799999999998</v>
      </c>
      <c r="I93" s="56" t="s">
        <v>391</v>
      </c>
      <c r="J93" s="57">
        <v>0</v>
      </c>
      <c r="K93" s="57">
        <f t="shared" si="7"/>
        <v>1298.9799999999998</v>
      </c>
      <c r="L93" s="50"/>
    </row>
    <row r="94" spans="1:12" x14ac:dyDescent="0.25">
      <c r="A94" s="30">
        <v>42604</v>
      </c>
      <c r="B94" s="32" t="s">
        <v>202</v>
      </c>
      <c r="C94" s="32" t="s">
        <v>203</v>
      </c>
      <c r="D94" s="35" t="s">
        <v>204</v>
      </c>
      <c r="E94" s="21">
        <v>1449.08</v>
      </c>
      <c r="F94" s="21">
        <v>0</v>
      </c>
      <c r="G94" s="21">
        <v>0</v>
      </c>
      <c r="H94" s="21">
        <f t="shared" si="1"/>
        <v>1449.08</v>
      </c>
      <c r="I94" s="33" t="s">
        <v>205</v>
      </c>
      <c r="J94" s="25">
        <v>0</v>
      </c>
      <c r="K94" s="25">
        <f t="shared" si="7"/>
        <v>1449.08</v>
      </c>
      <c r="L94" s="45"/>
    </row>
    <row r="95" spans="1:12" x14ac:dyDescent="0.25">
      <c r="A95" s="30">
        <v>42605</v>
      </c>
      <c r="B95" s="32" t="s">
        <v>206</v>
      </c>
      <c r="C95" s="32" t="s">
        <v>207</v>
      </c>
      <c r="D95" s="35" t="s">
        <v>209</v>
      </c>
      <c r="E95" s="21">
        <v>3300.21</v>
      </c>
      <c r="F95" s="21">
        <v>0</v>
      </c>
      <c r="G95" s="21">
        <v>0</v>
      </c>
      <c r="H95" s="21">
        <f t="shared" si="1"/>
        <v>3300.21</v>
      </c>
      <c r="I95" s="33" t="s">
        <v>208</v>
      </c>
      <c r="J95" s="25">
        <v>0</v>
      </c>
      <c r="K95" s="25">
        <f t="shared" si="7"/>
        <v>3300.21</v>
      </c>
      <c r="L95" s="45"/>
    </row>
    <row r="96" spans="1:12" x14ac:dyDescent="0.25">
      <c r="A96" s="30">
        <v>42583</v>
      </c>
      <c r="B96" s="32" t="s">
        <v>210</v>
      </c>
      <c r="C96" s="32" t="s">
        <v>211</v>
      </c>
      <c r="D96" s="35" t="s">
        <v>212</v>
      </c>
      <c r="E96" s="21">
        <v>3713.14</v>
      </c>
      <c r="F96" s="21">
        <v>0</v>
      </c>
      <c r="G96" s="21">
        <v>285.77999999999997</v>
      </c>
      <c r="H96" s="21">
        <f t="shared" si="1"/>
        <v>3998.92</v>
      </c>
      <c r="I96" s="33" t="s">
        <v>213</v>
      </c>
      <c r="J96" s="25">
        <v>0</v>
      </c>
      <c r="K96" s="25">
        <f t="shared" si="7"/>
        <v>3998.92</v>
      </c>
      <c r="L96" s="45"/>
    </row>
    <row r="97" spans="1:12" x14ac:dyDescent="0.25">
      <c r="A97" s="30">
        <v>42583</v>
      </c>
      <c r="B97" s="32" t="s">
        <v>210</v>
      </c>
      <c r="C97" s="32" t="s">
        <v>211</v>
      </c>
      <c r="D97" s="35" t="s">
        <v>212</v>
      </c>
      <c r="E97" s="21">
        <v>1294.08</v>
      </c>
      <c r="F97" s="21">
        <v>0</v>
      </c>
      <c r="G97" s="21">
        <v>0</v>
      </c>
      <c r="H97" s="21">
        <f t="shared" si="1"/>
        <v>1294.08</v>
      </c>
      <c r="I97" s="33" t="s">
        <v>214</v>
      </c>
      <c r="J97" s="25">
        <v>0</v>
      </c>
      <c r="K97" s="25">
        <f t="shared" si="7"/>
        <v>1294.08</v>
      </c>
      <c r="L97" s="45"/>
    </row>
    <row r="98" spans="1:12" x14ac:dyDescent="0.25">
      <c r="A98" s="30">
        <v>42598</v>
      </c>
      <c r="B98" s="32" t="s">
        <v>372</v>
      </c>
      <c r="C98" s="32" t="s">
        <v>373</v>
      </c>
      <c r="D98" s="35" t="s">
        <v>374</v>
      </c>
      <c r="E98" s="21">
        <v>1614.24</v>
      </c>
      <c r="F98" s="21">
        <v>0</v>
      </c>
      <c r="G98" s="21">
        <v>0</v>
      </c>
      <c r="H98" s="21">
        <f t="shared" si="1"/>
        <v>1614.24</v>
      </c>
      <c r="I98" s="33" t="s">
        <v>375</v>
      </c>
      <c r="J98" s="25">
        <v>0</v>
      </c>
      <c r="K98" s="25">
        <f t="shared" si="7"/>
        <v>1614.24</v>
      </c>
      <c r="L98" s="50"/>
    </row>
    <row r="99" spans="1:12" x14ac:dyDescent="0.25">
      <c r="A99" s="30">
        <v>42590</v>
      </c>
      <c r="B99" s="32" t="s">
        <v>215</v>
      </c>
      <c r="C99" s="32" t="s">
        <v>216</v>
      </c>
      <c r="D99" s="35" t="s">
        <v>217</v>
      </c>
      <c r="E99" s="21">
        <v>841.46</v>
      </c>
      <c r="F99" s="21">
        <v>0</v>
      </c>
      <c r="G99" s="21">
        <v>0</v>
      </c>
      <c r="H99" s="21">
        <f t="shared" si="1"/>
        <v>841.46</v>
      </c>
      <c r="I99" s="33" t="s">
        <v>218</v>
      </c>
      <c r="J99" s="25">
        <v>0</v>
      </c>
      <c r="K99" s="25">
        <f t="shared" si="7"/>
        <v>841.46</v>
      </c>
      <c r="L99" s="45"/>
    </row>
    <row r="100" spans="1:12" x14ac:dyDescent="0.25">
      <c r="A100" s="30">
        <v>42604</v>
      </c>
      <c r="B100" s="32" t="s">
        <v>219</v>
      </c>
      <c r="C100" s="32" t="s">
        <v>220</v>
      </c>
      <c r="D100" s="35" t="s">
        <v>221</v>
      </c>
      <c r="E100" s="21">
        <v>4621.92</v>
      </c>
      <c r="F100" s="21">
        <v>0</v>
      </c>
      <c r="G100" s="21">
        <v>0</v>
      </c>
      <c r="H100" s="21">
        <f t="shared" si="1"/>
        <v>4621.92</v>
      </c>
      <c r="I100" s="33" t="s">
        <v>222</v>
      </c>
      <c r="J100" s="25">
        <v>0</v>
      </c>
      <c r="K100" s="25">
        <f t="shared" si="7"/>
        <v>4621.92</v>
      </c>
      <c r="L100" s="45"/>
    </row>
    <row r="101" spans="1:12" x14ac:dyDescent="0.25">
      <c r="A101" s="30">
        <v>42609</v>
      </c>
      <c r="B101" s="32" t="s">
        <v>223</v>
      </c>
      <c r="C101" s="32" t="s">
        <v>224</v>
      </c>
      <c r="D101" s="35" t="s">
        <v>225</v>
      </c>
      <c r="E101" s="21">
        <v>3162</v>
      </c>
      <c r="F101" s="21">
        <v>0</v>
      </c>
      <c r="G101" s="21">
        <v>0</v>
      </c>
      <c r="H101" s="21">
        <f t="shared" si="1"/>
        <v>3162</v>
      </c>
      <c r="I101" s="33" t="s">
        <v>226</v>
      </c>
      <c r="J101" s="25">
        <v>0</v>
      </c>
      <c r="K101" s="25">
        <f t="shared" si="7"/>
        <v>3162</v>
      </c>
      <c r="L101" s="45"/>
    </row>
    <row r="102" spans="1:12" x14ac:dyDescent="0.25">
      <c r="A102" s="30">
        <v>42609</v>
      </c>
      <c r="B102" s="32" t="s">
        <v>223</v>
      </c>
      <c r="C102" s="32" t="s">
        <v>224</v>
      </c>
      <c r="D102" s="35" t="s">
        <v>225</v>
      </c>
      <c r="E102" s="21">
        <v>7532.39</v>
      </c>
      <c r="F102" s="21">
        <v>0</v>
      </c>
      <c r="G102" s="21">
        <v>861.89</v>
      </c>
      <c r="H102" s="21">
        <f t="shared" si="1"/>
        <v>8394.2800000000007</v>
      </c>
      <c r="I102" s="33" t="s">
        <v>227</v>
      </c>
      <c r="J102" s="25">
        <v>0</v>
      </c>
      <c r="K102" s="25">
        <f t="shared" si="7"/>
        <v>8394.2800000000007</v>
      </c>
      <c r="L102" s="45"/>
    </row>
    <row r="103" spans="1:12" x14ac:dyDescent="0.25">
      <c r="A103" s="30">
        <v>42583</v>
      </c>
      <c r="B103" s="32" t="s">
        <v>230</v>
      </c>
      <c r="C103" s="32" t="s">
        <v>231</v>
      </c>
      <c r="D103" s="35" t="s">
        <v>232</v>
      </c>
      <c r="E103" s="21">
        <v>1143.3499999999999</v>
      </c>
      <c r="F103" s="21">
        <v>0</v>
      </c>
      <c r="G103" s="21">
        <v>0</v>
      </c>
      <c r="H103" s="21">
        <f t="shared" si="1"/>
        <v>1143.3499999999999</v>
      </c>
      <c r="I103" s="33" t="s">
        <v>233</v>
      </c>
      <c r="J103" s="25">
        <v>0</v>
      </c>
      <c r="K103" s="25">
        <f t="shared" si="7"/>
        <v>1143.3499999999999</v>
      </c>
      <c r="L103" s="45"/>
    </row>
    <row r="104" spans="1:12" x14ac:dyDescent="0.25">
      <c r="A104" s="30">
        <v>42583</v>
      </c>
      <c r="B104" s="32" t="s">
        <v>230</v>
      </c>
      <c r="C104" s="32" t="s">
        <v>231</v>
      </c>
      <c r="D104" s="35" t="s">
        <v>232</v>
      </c>
      <c r="E104" s="21">
        <v>1927.81</v>
      </c>
      <c r="F104" s="21">
        <v>0</v>
      </c>
      <c r="G104" s="21">
        <v>0</v>
      </c>
      <c r="H104" s="21">
        <f t="shared" si="1"/>
        <v>1927.81</v>
      </c>
      <c r="I104" s="33" t="s">
        <v>234</v>
      </c>
      <c r="J104" s="25">
        <v>0</v>
      </c>
      <c r="K104" s="25">
        <f t="shared" si="7"/>
        <v>1927.81</v>
      </c>
      <c r="L104" s="45"/>
    </row>
    <row r="105" spans="1:12" x14ac:dyDescent="0.25">
      <c r="A105" s="30">
        <v>42606</v>
      </c>
      <c r="B105" s="32" t="s">
        <v>230</v>
      </c>
      <c r="C105" s="32" t="s">
        <v>231</v>
      </c>
      <c r="D105" s="35" t="s">
        <v>232</v>
      </c>
      <c r="E105" s="21">
        <v>1280.75</v>
      </c>
      <c r="F105" s="21">
        <v>0</v>
      </c>
      <c r="G105" s="21">
        <v>0</v>
      </c>
      <c r="H105" s="21">
        <f t="shared" si="1"/>
        <v>1280.75</v>
      </c>
      <c r="I105" s="33" t="s">
        <v>235</v>
      </c>
      <c r="J105" s="25">
        <v>0</v>
      </c>
      <c r="K105" s="25">
        <f t="shared" si="7"/>
        <v>1280.75</v>
      </c>
      <c r="L105" s="45"/>
    </row>
    <row r="106" spans="1:12" x14ac:dyDescent="0.25">
      <c r="A106" s="30">
        <v>42606</v>
      </c>
      <c r="B106" s="32" t="s">
        <v>230</v>
      </c>
      <c r="C106" s="32" t="s">
        <v>231</v>
      </c>
      <c r="D106" s="35" t="s">
        <v>232</v>
      </c>
      <c r="E106" s="21">
        <v>1718.52</v>
      </c>
      <c r="F106" s="21">
        <v>0</v>
      </c>
      <c r="G106" s="21">
        <v>0</v>
      </c>
      <c r="H106" s="21">
        <f t="shared" si="1"/>
        <v>1718.52</v>
      </c>
      <c r="I106" s="33" t="s">
        <v>236</v>
      </c>
      <c r="J106" s="25">
        <v>0</v>
      </c>
      <c r="K106" s="25">
        <f t="shared" si="7"/>
        <v>1718.52</v>
      </c>
      <c r="L106" s="45"/>
    </row>
    <row r="107" spans="1:12" x14ac:dyDescent="0.25">
      <c r="A107" s="30">
        <v>42608</v>
      </c>
      <c r="B107" s="32" t="s">
        <v>237</v>
      </c>
      <c r="C107" s="32" t="s">
        <v>238</v>
      </c>
      <c r="D107" s="35" t="s">
        <v>239</v>
      </c>
      <c r="E107" s="21">
        <v>4797.41</v>
      </c>
      <c r="F107" s="21">
        <v>0</v>
      </c>
      <c r="G107" s="21">
        <v>0</v>
      </c>
      <c r="H107" s="21">
        <f t="shared" si="1"/>
        <v>4797.41</v>
      </c>
      <c r="I107" s="33" t="s">
        <v>240</v>
      </c>
      <c r="J107" s="25">
        <v>0</v>
      </c>
      <c r="K107" s="25">
        <f t="shared" si="7"/>
        <v>4797.41</v>
      </c>
      <c r="L107" s="45"/>
    </row>
    <row r="108" spans="1:12" x14ac:dyDescent="0.25">
      <c r="A108" s="30">
        <v>42608</v>
      </c>
      <c r="B108" s="32" t="s">
        <v>237</v>
      </c>
      <c r="C108" s="32" t="s">
        <v>238</v>
      </c>
      <c r="D108" s="35" t="s">
        <v>239</v>
      </c>
      <c r="E108" s="21">
        <v>3855.66</v>
      </c>
      <c r="F108" s="21">
        <v>0</v>
      </c>
      <c r="G108" s="21">
        <v>359</v>
      </c>
      <c r="H108" s="21">
        <f t="shared" si="1"/>
        <v>4214.66</v>
      </c>
      <c r="I108" s="33" t="s">
        <v>241</v>
      </c>
      <c r="J108" s="25">
        <v>0</v>
      </c>
      <c r="K108" s="25">
        <f t="shared" si="7"/>
        <v>4214.66</v>
      </c>
      <c r="L108" s="45"/>
    </row>
    <row r="109" spans="1:12" x14ac:dyDescent="0.25">
      <c r="A109" s="30">
        <v>42608</v>
      </c>
      <c r="B109" s="32" t="s">
        <v>237</v>
      </c>
      <c r="C109" s="32" t="s">
        <v>238</v>
      </c>
      <c r="D109" s="35" t="s">
        <v>239</v>
      </c>
      <c r="E109" s="21">
        <v>1622.39</v>
      </c>
      <c r="F109" s="21">
        <v>0</v>
      </c>
      <c r="G109" s="21">
        <v>0</v>
      </c>
      <c r="H109" s="21">
        <f t="shared" si="1"/>
        <v>1622.39</v>
      </c>
      <c r="I109" s="33" t="s">
        <v>242</v>
      </c>
      <c r="J109" s="25">
        <v>0</v>
      </c>
      <c r="K109" s="25">
        <f t="shared" si="7"/>
        <v>1622.39</v>
      </c>
      <c r="L109" s="45"/>
    </row>
    <row r="110" spans="1:12" x14ac:dyDescent="0.25">
      <c r="A110" s="30">
        <v>42592</v>
      </c>
      <c r="B110" s="32" t="s">
        <v>243</v>
      </c>
      <c r="C110" s="32" t="s">
        <v>244</v>
      </c>
      <c r="D110" s="35" t="s">
        <v>245</v>
      </c>
      <c r="E110" s="21">
        <v>6438.02</v>
      </c>
      <c r="F110" s="21">
        <v>0</v>
      </c>
      <c r="G110" s="21">
        <v>420.62</v>
      </c>
      <c r="H110" s="21">
        <f t="shared" si="1"/>
        <v>6858.64</v>
      </c>
      <c r="I110" s="33" t="s">
        <v>246</v>
      </c>
      <c r="J110" s="25">
        <v>0</v>
      </c>
      <c r="K110" s="25">
        <f t="shared" si="7"/>
        <v>6858.64</v>
      </c>
      <c r="L110" s="45"/>
    </row>
    <row r="111" spans="1:12" x14ac:dyDescent="0.25">
      <c r="A111" s="30">
        <v>42592</v>
      </c>
      <c r="B111" s="32" t="s">
        <v>243</v>
      </c>
      <c r="C111" s="32" t="s">
        <v>244</v>
      </c>
      <c r="D111" s="35" t="s">
        <v>245</v>
      </c>
      <c r="E111" s="21">
        <v>6549.88</v>
      </c>
      <c r="F111" s="21">
        <v>0</v>
      </c>
      <c r="G111" s="21">
        <v>0</v>
      </c>
      <c r="H111" s="21">
        <f t="shared" si="1"/>
        <v>6549.88</v>
      </c>
      <c r="I111" s="33" t="s">
        <v>247</v>
      </c>
      <c r="J111" s="25">
        <v>0</v>
      </c>
      <c r="K111" s="25">
        <f t="shared" si="7"/>
        <v>6549.88</v>
      </c>
      <c r="L111" s="45"/>
    </row>
    <row r="112" spans="1:12" x14ac:dyDescent="0.25">
      <c r="A112" s="30">
        <v>42583</v>
      </c>
      <c r="B112" s="32" t="s">
        <v>248</v>
      </c>
      <c r="C112" s="32" t="s">
        <v>249</v>
      </c>
      <c r="D112" s="35" t="s">
        <v>250</v>
      </c>
      <c r="E112" s="21">
        <v>9819.74</v>
      </c>
      <c r="F112" s="21">
        <v>0</v>
      </c>
      <c r="G112" s="21">
        <v>0</v>
      </c>
      <c r="H112" s="21">
        <f t="shared" si="1"/>
        <v>9819.74</v>
      </c>
      <c r="I112" s="33" t="s">
        <v>251</v>
      </c>
      <c r="J112" s="25">
        <v>0</v>
      </c>
      <c r="K112" s="25">
        <f t="shared" si="7"/>
        <v>9819.74</v>
      </c>
      <c r="L112" s="45"/>
    </row>
    <row r="113" spans="1:12" x14ac:dyDescent="0.25">
      <c r="A113" s="30">
        <v>42587</v>
      </c>
      <c r="B113" s="32" t="s">
        <v>252</v>
      </c>
      <c r="C113" s="32" t="s">
        <v>253</v>
      </c>
      <c r="D113" s="35" t="s">
        <v>254</v>
      </c>
      <c r="E113" s="21">
        <v>5560.71</v>
      </c>
      <c r="F113" s="21">
        <v>0</v>
      </c>
      <c r="G113" s="21">
        <v>0</v>
      </c>
      <c r="H113" s="21">
        <f t="shared" si="1"/>
        <v>5560.71</v>
      </c>
      <c r="I113" s="33" t="s">
        <v>255</v>
      </c>
      <c r="J113" s="25">
        <v>0</v>
      </c>
      <c r="K113" s="25">
        <f t="shared" si="7"/>
        <v>5560.71</v>
      </c>
      <c r="L113" s="45"/>
    </row>
    <row r="114" spans="1:12" x14ac:dyDescent="0.25">
      <c r="A114" s="30">
        <v>42587</v>
      </c>
      <c r="B114" s="32" t="s">
        <v>252</v>
      </c>
      <c r="C114" s="32" t="s">
        <v>253</v>
      </c>
      <c r="D114" s="35" t="s">
        <v>254</v>
      </c>
      <c r="E114" s="21">
        <v>1294.08</v>
      </c>
      <c r="F114" s="21">
        <v>0</v>
      </c>
      <c r="G114" s="21">
        <v>0</v>
      </c>
      <c r="H114" s="21">
        <f t="shared" si="1"/>
        <v>1294.08</v>
      </c>
      <c r="I114" s="33" t="s">
        <v>256</v>
      </c>
      <c r="J114" s="25">
        <v>0</v>
      </c>
      <c r="K114" s="25">
        <f t="shared" si="7"/>
        <v>1294.08</v>
      </c>
      <c r="L114" s="45"/>
    </row>
    <row r="115" spans="1:12" x14ac:dyDescent="0.25">
      <c r="A115" s="30">
        <v>42587</v>
      </c>
      <c r="B115" s="32" t="s">
        <v>252</v>
      </c>
      <c r="C115" s="32" t="s">
        <v>253</v>
      </c>
      <c r="D115" s="35" t="s">
        <v>254</v>
      </c>
      <c r="E115" s="21">
        <v>5391.66</v>
      </c>
      <c r="F115" s="21">
        <v>0</v>
      </c>
      <c r="G115" s="21">
        <v>0</v>
      </c>
      <c r="H115" s="21">
        <f t="shared" si="1"/>
        <v>5391.66</v>
      </c>
      <c r="I115" s="33" t="s">
        <v>257</v>
      </c>
      <c r="J115" s="25">
        <v>0</v>
      </c>
      <c r="K115" s="25">
        <f t="shared" si="7"/>
        <v>5391.66</v>
      </c>
      <c r="L115" s="45"/>
    </row>
    <row r="116" spans="1:12" x14ac:dyDescent="0.25">
      <c r="A116" s="30">
        <v>42585</v>
      </c>
      <c r="B116" s="32" t="s">
        <v>258</v>
      </c>
      <c r="C116" s="32" t="s">
        <v>259</v>
      </c>
      <c r="D116" s="35" t="s">
        <v>260</v>
      </c>
      <c r="E116" s="21">
        <v>3015.19</v>
      </c>
      <c r="F116" s="21">
        <v>0</v>
      </c>
      <c r="G116" s="21">
        <v>361.82</v>
      </c>
      <c r="H116" s="21">
        <f t="shared" si="1"/>
        <v>3377.01</v>
      </c>
      <c r="I116" s="33" t="s">
        <v>261</v>
      </c>
      <c r="J116" s="25">
        <v>0</v>
      </c>
      <c r="K116" s="25">
        <f t="shared" si="7"/>
        <v>3377.01</v>
      </c>
      <c r="L116" s="45"/>
    </row>
    <row r="117" spans="1:12" x14ac:dyDescent="0.25">
      <c r="A117" s="30">
        <v>42585</v>
      </c>
      <c r="B117" s="32" t="s">
        <v>258</v>
      </c>
      <c r="C117" s="32" t="s">
        <v>259</v>
      </c>
      <c r="D117" s="35" t="s">
        <v>260</v>
      </c>
      <c r="E117" s="21">
        <v>768</v>
      </c>
      <c r="F117" s="21">
        <v>0</v>
      </c>
      <c r="G117" s="21">
        <v>0</v>
      </c>
      <c r="H117" s="21">
        <f t="shared" si="1"/>
        <v>768</v>
      </c>
      <c r="I117" s="33" t="s">
        <v>262</v>
      </c>
      <c r="J117" s="25">
        <v>0</v>
      </c>
      <c r="K117" s="25">
        <f t="shared" si="7"/>
        <v>768</v>
      </c>
      <c r="L117" s="45"/>
    </row>
    <row r="118" spans="1:12" x14ac:dyDescent="0.25">
      <c r="A118" s="30">
        <v>42585</v>
      </c>
      <c r="B118" s="32" t="s">
        <v>258</v>
      </c>
      <c r="C118" s="32" t="s">
        <v>259</v>
      </c>
      <c r="D118" s="35" t="s">
        <v>260</v>
      </c>
      <c r="E118" s="21">
        <v>776</v>
      </c>
      <c r="F118" s="21">
        <v>0</v>
      </c>
      <c r="G118" s="21">
        <v>0</v>
      </c>
      <c r="H118" s="21">
        <f t="shared" si="1"/>
        <v>776</v>
      </c>
      <c r="I118" s="33" t="s">
        <v>263</v>
      </c>
      <c r="J118" s="25">
        <v>0</v>
      </c>
      <c r="K118" s="25">
        <f t="shared" si="7"/>
        <v>776</v>
      </c>
      <c r="L118" s="45"/>
    </row>
    <row r="119" spans="1:12" x14ac:dyDescent="0.25">
      <c r="A119" s="30">
        <v>42597</v>
      </c>
      <c r="B119" s="32" t="s">
        <v>368</v>
      </c>
      <c r="C119" s="32" t="s">
        <v>369</v>
      </c>
      <c r="D119" s="35" t="s">
        <v>370</v>
      </c>
      <c r="E119" s="21">
        <v>17433</v>
      </c>
      <c r="F119" s="21">
        <v>0</v>
      </c>
      <c r="G119" s="21">
        <v>0</v>
      </c>
      <c r="H119" s="21">
        <f t="shared" si="1"/>
        <v>17433</v>
      </c>
      <c r="I119" s="33" t="s">
        <v>371</v>
      </c>
      <c r="J119" s="25">
        <v>0</v>
      </c>
      <c r="K119" s="25">
        <f t="shared" si="7"/>
        <v>17433</v>
      </c>
      <c r="L119" s="50"/>
    </row>
    <row r="120" spans="1:12" x14ac:dyDescent="0.25">
      <c r="A120" s="30">
        <v>42600</v>
      </c>
      <c r="B120" s="32" t="s">
        <v>228</v>
      </c>
      <c r="C120" s="32" t="s">
        <v>229</v>
      </c>
      <c r="D120" s="35" t="s">
        <v>264</v>
      </c>
      <c r="E120" s="21">
        <v>752.03</v>
      </c>
      <c r="F120" s="21">
        <v>0</v>
      </c>
      <c r="G120" s="21">
        <v>31.08</v>
      </c>
      <c r="H120" s="21">
        <f t="shared" si="1"/>
        <v>783.11</v>
      </c>
      <c r="I120" s="33" t="s">
        <v>265</v>
      </c>
      <c r="J120" s="25">
        <v>0</v>
      </c>
      <c r="K120" s="25">
        <f t="shared" si="7"/>
        <v>783.11</v>
      </c>
      <c r="L120" s="45"/>
    </row>
    <row r="121" spans="1:12" x14ac:dyDescent="0.25">
      <c r="A121" s="30">
        <v>42600</v>
      </c>
      <c r="B121" s="32" t="s">
        <v>228</v>
      </c>
      <c r="C121" s="32" t="s">
        <v>229</v>
      </c>
      <c r="D121" s="35" t="s">
        <v>264</v>
      </c>
      <c r="E121" s="21">
        <v>2335.6999999999998</v>
      </c>
      <c r="F121" s="21">
        <v>0</v>
      </c>
      <c r="G121" s="21">
        <v>0</v>
      </c>
      <c r="H121" s="21">
        <f t="shared" si="1"/>
        <v>2335.6999999999998</v>
      </c>
      <c r="I121" s="33" t="s">
        <v>266</v>
      </c>
      <c r="J121" s="25">
        <v>0</v>
      </c>
      <c r="K121" s="25">
        <f t="shared" si="7"/>
        <v>2335.6999999999998</v>
      </c>
      <c r="L121" s="45"/>
    </row>
    <row r="122" spans="1:12" x14ac:dyDescent="0.25">
      <c r="A122" s="30">
        <v>42600</v>
      </c>
      <c r="B122" s="32" t="s">
        <v>267</v>
      </c>
      <c r="C122" s="32" t="s">
        <v>268</v>
      </c>
      <c r="D122" s="35" t="s">
        <v>269</v>
      </c>
      <c r="E122" s="21">
        <v>2392.84</v>
      </c>
      <c r="F122" s="21">
        <v>0</v>
      </c>
      <c r="G122" s="21">
        <v>287.14</v>
      </c>
      <c r="H122" s="21">
        <f t="shared" si="1"/>
        <v>2679.98</v>
      </c>
      <c r="I122" s="33" t="s">
        <v>270</v>
      </c>
      <c r="J122" s="25">
        <v>0</v>
      </c>
      <c r="K122" s="25">
        <f t="shared" si="7"/>
        <v>2679.98</v>
      </c>
      <c r="L122" s="45"/>
    </row>
    <row r="123" spans="1:12" x14ac:dyDescent="0.25">
      <c r="A123" s="30">
        <v>42600</v>
      </c>
      <c r="B123" s="32" t="s">
        <v>267</v>
      </c>
      <c r="C123" s="32" t="s">
        <v>268</v>
      </c>
      <c r="D123" s="35" t="s">
        <v>269</v>
      </c>
      <c r="E123" s="21">
        <v>1196.42</v>
      </c>
      <c r="F123" s="21">
        <v>0</v>
      </c>
      <c r="G123" s="21">
        <v>143.57</v>
      </c>
      <c r="H123" s="21">
        <f t="shared" si="1"/>
        <v>1339.99</v>
      </c>
      <c r="I123" s="33" t="s">
        <v>271</v>
      </c>
      <c r="J123" s="25">
        <v>0</v>
      </c>
      <c r="K123" s="25">
        <f t="shared" si="7"/>
        <v>1339.99</v>
      </c>
      <c r="L123" s="45"/>
    </row>
    <row r="124" spans="1:12" x14ac:dyDescent="0.25">
      <c r="A124" s="30">
        <v>42589</v>
      </c>
      <c r="B124" s="32" t="s">
        <v>272</v>
      </c>
      <c r="C124" s="32" t="s">
        <v>273</v>
      </c>
      <c r="D124" s="35" t="s">
        <v>274</v>
      </c>
      <c r="E124" s="21">
        <v>2700</v>
      </c>
      <c r="F124" s="21">
        <v>0</v>
      </c>
      <c r="G124" s="21">
        <v>0</v>
      </c>
      <c r="H124" s="21">
        <f t="shared" si="1"/>
        <v>2700</v>
      </c>
      <c r="I124" s="33" t="s">
        <v>275</v>
      </c>
      <c r="J124" s="25">
        <v>0</v>
      </c>
      <c r="K124" s="25">
        <f t="shared" si="7"/>
        <v>2700</v>
      </c>
      <c r="L124" s="45"/>
    </row>
    <row r="125" spans="1:12" x14ac:dyDescent="0.25">
      <c r="A125" s="30">
        <v>42583</v>
      </c>
      <c r="B125" s="32" t="s">
        <v>272</v>
      </c>
      <c r="C125" s="32" t="s">
        <v>273</v>
      </c>
      <c r="D125" s="35" t="s">
        <v>274</v>
      </c>
      <c r="E125" s="21">
        <v>502.92</v>
      </c>
      <c r="F125" s="21">
        <v>0</v>
      </c>
      <c r="G125" s="21">
        <v>0</v>
      </c>
      <c r="H125" s="21">
        <f t="shared" si="1"/>
        <v>502.92</v>
      </c>
      <c r="I125" s="33" t="s">
        <v>276</v>
      </c>
      <c r="J125" s="25">
        <v>0</v>
      </c>
      <c r="K125" s="25">
        <f t="shared" si="7"/>
        <v>502.92</v>
      </c>
      <c r="L125" s="45"/>
    </row>
    <row r="126" spans="1:12" x14ac:dyDescent="0.25">
      <c r="A126" s="30">
        <v>42587</v>
      </c>
      <c r="B126" s="32" t="s">
        <v>272</v>
      </c>
      <c r="C126" s="32" t="s">
        <v>273</v>
      </c>
      <c r="D126" s="35" t="s">
        <v>274</v>
      </c>
      <c r="E126" s="21">
        <v>6182.55</v>
      </c>
      <c r="F126" s="21">
        <v>0</v>
      </c>
      <c r="G126" s="21">
        <v>0</v>
      </c>
      <c r="H126" s="21">
        <f t="shared" si="1"/>
        <v>6182.55</v>
      </c>
      <c r="I126" s="33" t="s">
        <v>277</v>
      </c>
      <c r="J126" s="25">
        <v>0</v>
      </c>
      <c r="K126" s="25">
        <f t="shared" si="7"/>
        <v>6182.55</v>
      </c>
      <c r="L126" s="45"/>
    </row>
    <row r="127" spans="1:12" x14ac:dyDescent="0.25">
      <c r="A127" s="30">
        <v>42605</v>
      </c>
      <c r="B127" s="32" t="s">
        <v>272</v>
      </c>
      <c r="C127" s="32" t="s">
        <v>273</v>
      </c>
      <c r="D127" s="35" t="s">
        <v>274</v>
      </c>
      <c r="E127" s="21">
        <v>1164</v>
      </c>
      <c r="F127" s="21">
        <v>0</v>
      </c>
      <c r="G127" s="21">
        <v>0</v>
      </c>
      <c r="H127" s="21">
        <f t="shared" si="1"/>
        <v>1164</v>
      </c>
      <c r="I127" s="33" t="s">
        <v>278</v>
      </c>
      <c r="J127" s="25">
        <v>0</v>
      </c>
      <c r="K127" s="25">
        <f t="shared" si="7"/>
        <v>1164</v>
      </c>
      <c r="L127" s="45"/>
    </row>
    <row r="128" spans="1:12" x14ac:dyDescent="0.25">
      <c r="A128" s="30">
        <v>42606</v>
      </c>
      <c r="B128" s="32" t="s">
        <v>272</v>
      </c>
      <c r="C128" s="32" t="s">
        <v>273</v>
      </c>
      <c r="D128" s="35" t="s">
        <v>274</v>
      </c>
      <c r="E128" s="21">
        <v>6736.96</v>
      </c>
      <c r="F128" s="21">
        <v>0</v>
      </c>
      <c r="G128" s="21">
        <v>0</v>
      </c>
      <c r="H128" s="21">
        <f t="shared" si="1"/>
        <v>6736.96</v>
      </c>
      <c r="I128" s="33" t="s">
        <v>279</v>
      </c>
      <c r="J128" s="25">
        <v>0</v>
      </c>
      <c r="K128" s="25">
        <f t="shared" si="7"/>
        <v>6736.96</v>
      </c>
      <c r="L128" s="45"/>
    </row>
    <row r="129" spans="1:12" x14ac:dyDescent="0.25">
      <c r="A129" s="30">
        <v>42606</v>
      </c>
      <c r="B129" s="32" t="s">
        <v>272</v>
      </c>
      <c r="C129" s="32" t="s">
        <v>273</v>
      </c>
      <c r="D129" s="35" t="s">
        <v>274</v>
      </c>
      <c r="E129" s="21">
        <v>2694.15</v>
      </c>
      <c r="F129" s="21">
        <v>0</v>
      </c>
      <c r="G129" s="21">
        <v>323.3</v>
      </c>
      <c r="H129" s="21">
        <f t="shared" si="1"/>
        <v>3017.4500000000003</v>
      </c>
      <c r="I129" s="33" t="s">
        <v>280</v>
      </c>
      <c r="J129" s="25">
        <v>0</v>
      </c>
      <c r="K129" s="25">
        <f t="shared" si="7"/>
        <v>3017.4500000000003</v>
      </c>
      <c r="L129" s="45"/>
    </row>
    <row r="130" spans="1:12" x14ac:dyDescent="0.25">
      <c r="A130" s="30">
        <v>42612</v>
      </c>
      <c r="B130" s="32" t="s">
        <v>272</v>
      </c>
      <c r="C130" s="32" t="s">
        <v>273</v>
      </c>
      <c r="D130" s="35" t="s">
        <v>274</v>
      </c>
      <c r="E130" s="21">
        <v>1801.57</v>
      </c>
      <c r="F130" s="21">
        <v>0</v>
      </c>
      <c r="G130" s="21">
        <v>47.64</v>
      </c>
      <c r="H130" s="21">
        <f t="shared" si="1"/>
        <v>1849.21</v>
      </c>
      <c r="I130" s="33" t="s">
        <v>281</v>
      </c>
      <c r="J130" s="25">
        <v>0</v>
      </c>
      <c r="K130" s="25">
        <f t="shared" si="7"/>
        <v>1849.21</v>
      </c>
      <c r="L130" s="45"/>
    </row>
    <row r="131" spans="1:12" x14ac:dyDescent="0.25">
      <c r="A131" s="30">
        <v>42612</v>
      </c>
      <c r="B131" s="32" t="s">
        <v>272</v>
      </c>
      <c r="C131" s="32" t="s">
        <v>273</v>
      </c>
      <c r="D131" s="35" t="s">
        <v>274</v>
      </c>
      <c r="E131" s="21">
        <v>1212.81</v>
      </c>
      <c r="F131" s="21">
        <v>0</v>
      </c>
      <c r="G131" s="21">
        <v>47.64</v>
      </c>
      <c r="H131" s="21">
        <f t="shared" si="1"/>
        <v>1260.45</v>
      </c>
      <c r="I131" s="33" t="s">
        <v>282</v>
      </c>
      <c r="J131" s="25">
        <v>0</v>
      </c>
      <c r="K131" s="25">
        <f t="shared" si="7"/>
        <v>1260.45</v>
      </c>
      <c r="L131" s="45"/>
    </row>
    <row r="132" spans="1:12" x14ac:dyDescent="0.25">
      <c r="A132" s="30">
        <v>42612</v>
      </c>
      <c r="B132" s="32" t="s">
        <v>272</v>
      </c>
      <c r="C132" s="32" t="s">
        <v>273</v>
      </c>
      <c r="D132" s="35" t="s">
        <v>274</v>
      </c>
      <c r="E132" s="21">
        <v>1244.29</v>
      </c>
      <c r="F132" s="21">
        <v>0</v>
      </c>
      <c r="G132" s="21">
        <v>0</v>
      </c>
      <c r="H132" s="21">
        <f t="shared" si="1"/>
        <v>1244.29</v>
      </c>
      <c r="I132" s="33" t="s">
        <v>283</v>
      </c>
      <c r="J132" s="25">
        <v>0</v>
      </c>
      <c r="K132" s="25">
        <f t="shared" si="7"/>
        <v>1244.29</v>
      </c>
      <c r="L132" s="45"/>
    </row>
    <row r="133" spans="1:12" x14ac:dyDescent="0.25">
      <c r="A133" s="30">
        <v>42602</v>
      </c>
      <c r="B133" s="32" t="s">
        <v>284</v>
      </c>
      <c r="C133" s="32" t="s">
        <v>285</v>
      </c>
      <c r="D133" s="35" t="s">
        <v>286</v>
      </c>
      <c r="E133" s="21">
        <v>1050</v>
      </c>
      <c r="F133" s="21">
        <v>0</v>
      </c>
      <c r="G133" s="21">
        <v>0</v>
      </c>
      <c r="H133" s="21">
        <f t="shared" si="1"/>
        <v>1050</v>
      </c>
      <c r="I133" s="33" t="s">
        <v>287</v>
      </c>
      <c r="J133" s="25">
        <v>0</v>
      </c>
      <c r="K133" s="25">
        <f t="shared" si="7"/>
        <v>1050</v>
      </c>
      <c r="L133" s="45"/>
    </row>
    <row r="134" spans="1:12" x14ac:dyDescent="0.25">
      <c r="A134" s="30">
        <v>42602</v>
      </c>
      <c r="B134" s="32" t="s">
        <v>284</v>
      </c>
      <c r="C134" s="32" t="s">
        <v>285</v>
      </c>
      <c r="D134" s="35" t="s">
        <v>286</v>
      </c>
      <c r="E134" s="21">
        <v>2062.77</v>
      </c>
      <c r="F134" s="21">
        <v>0</v>
      </c>
      <c r="G134" s="21">
        <v>0</v>
      </c>
      <c r="H134" s="21">
        <f t="shared" si="1"/>
        <v>2062.77</v>
      </c>
      <c r="I134" s="33" t="s">
        <v>288</v>
      </c>
      <c r="J134" s="25">
        <v>0</v>
      </c>
      <c r="K134" s="25">
        <f t="shared" si="7"/>
        <v>2062.77</v>
      </c>
      <c r="L134" s="45"/>
    </row>
    <row r="135" spans="1:12" x14ac:dyDescent="0.25">
      <c r="A135" s="30">
        <v>42608</v>
      </c>
      <c r="B135" s="32" t="s">
        <v>289</v>
      </c>
      <c r="C135" s="32" t="s">
        <v>290</v>
      </c>
      <c r="D135" s="35" t="s">
        <v>291</v>
      </c>
      <c r="E135" s="21">
        <v>1645</v>
      </c>
      <c r="F135" s="21">
        <v>0</v>
      </c>
      <c r="G135" s="21">
        <v>102</v>
      </c>
      <c r="H135" s="21">
        <f t="shared" si="1"/>
        <v>1747</v>
      </c>
      <c r="I135" s="33" t="s">
        <v>292</v>
      </c>
      <c r="J135" s="25">
        <v>0</v>
      </c>
      <c r="K135" s="25">
        <f t="shared" si="7"/>
        <v>1747</v>
      </c>
      <c r="L135" s="45"/>
    </row>
    <row r="136" spans="1:12" x14ac:dyDescent="0.25">
      <c r="A136" s="30">
        <v>42608</v>
      </c>
      <c r="B136" s="32" t="s">
        <v>289</v>
      </c>
      <c r="C136" s="32" t="s">
        <v>290</v>
      </c>
      <c r="D136" s="35" t="s">
        <v>291</v>
      </c>
      <c r="E136" s="21">
        <v>830.85</v>
      </c>
      <c r="F136" s="21">
        <v>0</v>
      </c>
      <c r="G136" s="21">
        <v>0</v>
      </c>
      <c r="H136" s="21">
        <f t="shared" si="1"/>
        <v>830.85</v>
      </c>
      <c r="I136" s="33" t="s">
        <v>293</v>
      </c>
      <c r="J136" s="25">
        <v>0</v>
      </c>
      <c r="K136" s="25">
        <f t="shared" si="7"/>
        <v>830.85</v>
      </c>
      <c r="L136" s="45"/>
    </row>
    <row r="137" spans="1:12" x14ac:dyDescent="0.25">
      <c r="A137" s="30">
        <v>42608</v>
      </c>
      <c r="B137" s="32" t="s">
        <v>294</v>
      </c>
      <c r="C137" s="32" t="s">
        <v>295</v>
      </c>
      <c r="D137" s="35" t="s">
        <v>296</v>
      </c>
      <c r="E137" s="21">
        <v>3080.88</v>
      </c>
      <c r="F137" s="21">
        <v>0</v>
      </c>
      <c r="G137" s="21">
        <v>0</v>
      </c>
      <c r="H137" s="21">
        <f t="shared" si="1"/>
        <v>3080.88</v>
      </c>
      <c r="I137" s="33" t="s">
        <v>297</v>
      </c>
      <c r="J137" s="25">
        <v>0</v>
      </c>
      <c r="K137" s="25">
        <f t="shared" si="7"/>
        <v>3080.88</v>
      </c>
      <c r="L137" s="45"/>
    </row>
    <row r="138" spans="1:12" x14ac:dyDescent="0.25">
      <c r="A138" s="30">
        <v>42608</v>
      </c>
      <c r="B138" s="32" t="s">
        <v>294</v>
      </c>
      <c r="C138" s="32" t="s">
        <v>295</v>
      </c>
      <c r="D138" s="35" t="s">
        <v>296</v>
      </c>
      <c r="E138" s="21">
        <v>5983.97</v>
      </c>
      <c r="F138" s="21">
        <v>0</v>
      </c>
      <c r="G138" s="21">
        <v>0</v>
      </c>
      <c r="H138" s="21">
        <f t="shared" si="1"/>
        <v>5983.97</v>
      </c>
      <c r="I138" s="33" t="s">
        <v>298</v>
      </c>
      <c r="J138" s="25">
        <v>0</v>
      </c>
      <c r="K138" s="25">
        <f t="shared" si="7"/>
        <v>5983.97</v>
      </c>
      <c r="L138" s="45"/>
    </row>
    <row r="139" spans="1:12" x14ac:dyDescent="0.25">
      <c r="A139" s="30" t="s">
        <v>299</v>
      </c>
      <c r="B139" s="32" t="s">
        <v>300</v>
      </c>
      <c r="C139" s="32" t="s">
        <v>301</v>
      </c>
      <c r="D139" s="35" t="s">
        <v>302</v>
      </c>
      <c r="E139" s="21">
        <v>1248</v>
      </c>
      <c r="F139" s="21">
        <v>0</v>
      </c>
      <c r="G139" s="21">
        <v>0</v>
      </c>
      <c r="H139" s="21">
        <f t="shared" si="1"/>
        <v>1248</v>
      </c>
      <c r="I139" s="33" t="s">
        <v>303</v>
      </c>
      <c r="J139" s="25">
        <v>0</v>
      </c>
      <c r="K139" s="25">
        <f t="shared" si="7"/>
        <v>1248</v>
      </c>
      <c r="L139" s="45"/>
    </row>
    <row r="140" spans="1:12" x14ac:dyDescent="0.25">
      <c r="A140" s="30">
        <v>42593</v>
      </c>
      <c r="B140" s="32" t="s">
        <v>304</v>
      </c>
      <c r="C140" s="32" t="s">
        <v>305</v>
      </c>
      <c r="D140" s="35" t="s">
        <v>306</v>
      </c>
      <c r="E140" s="21">
        <v>2987.5</v>
      </c>
      <c r="F140" s="21">
        <v>0</v>
      </c>
      <c r="G140" s="21">
        <v>241.07</v>
      </c>
      <c r="H140" s="21">
        <f t="shared" si="1"/>
        <v>3228.57</v>
      </c>
      <c r="I140" s="33" t="s">
        <v>307</v>
      </c>
      <c r="J140" s="25">
        <v>0</v>
      </c>
      <c r="K140" s="25">
        <f t="shared" si="7"/>
        <v>3228.57</v>
      </c>
      <c r="L140" s="45"/>
    </row>
    <row r="141" spans="1:12" x14ac:dyDescent="0.25">
      <c r="A141" s="30">
        <v>42583</v>
      </c>
      <c r="B141" s="32" t="s">
        <v>308</v>
      </c>
      <c r="C141" s="32" t="s">
        <v>309</v>
      </c>
      <c r="D141" s="35" t="s">
        <v>310</v>
      </c>
      <c r="E141" s="21">
        <v>1619.1</v>
      </c>
      <c r="F141" s="21">
        <v>0</v>
      </c>
      <c r="G141" s="21">
        <v>0</v>
      </c>
      <c r="H141" s="21">
        <f t="shared" si="1"/>
        <v>1619.1</v>
      </c>
      <c r="I141" s="33" t="s">
        <v>311</v>
      </c>
      <c r="J141" s="25">
        <v>0</v>
      </c>
      <c r="K141" s="25">
        <f t="shared" si="7"/>
        <v>1619.1</v>
      </c>
      <c r="L141" s="45"/>
    </row>
    <row r="142" spans="1:12" x14ac:dyDescent="0.25">
      <c r="A142" s="30">
        <v>42590</v>
      </c>
      <c r="B142" s="32" t="s">
        <v>312</v>
      </c>
      <c r="C142" s="32" t="s">
        <v>313</v>
      </c>
      <c r="D142" s="35" t="s">
        <v>314</v>
      </c>
      <c r="E142" s="21">
        <v>1028.25</v>
      </c>
      <c r="F142" s="21">
        <v>0</v>
      </c>
      <c r="G142" s="21">
        <v>0</v>
      </c>
      <c r="H142" s="21">
        <f t="shared" si="1"/>
        <v>1028.25</v>
      </c>
      <c r="I142" s="33" t="s">
        <v>315</v>
      </c>
      <c r="J142" s="25">
        <v>0</v>
      </c>
      <c r="K142" s="25">
        <f t="shared" si="7"/>
        <v>1028.25</v>
      </c>
      <c r="L142" s="45"/>
    </row>
    <row r="143" spans="1:12" x14ac:dyDescent="0.25">
      <c r="A143" s="30">
        <v>42593</v>
      </c>
      <c r="B143" s="32" t="s">
        <v>312</v>
      </c>
      <c r="C143" s="32" t="s">
        <v>313</v>
      </c>
      <c r="D143" s="35" t="s">
        <v>314</v>
      </c>
      <c r="E143" s="21">
        <v>1665.9</v>
      </c>
      <c r="F143" s="21">
        <v>0</v>
      </c>
      <c r="G143" s="21">
        <v>80.89</v>
      </c>
      <c r="H143" s="21">
        <f t="shared" si="1"/>
        <v>1746.7900000000002</v>
      </c>
      <c r="I143" s="33" t="s">
        <v>316</v>
      </c>
      <c r="J143" s="25">
        <v>0</v>
      </c>
      <c r="K143" s="25">
        <f t="shared" si="7"/>
        <v>1746.7900000000002</v>
      </c>
      <c r="L143" s="45"/>
    </row>
    <row r="144" spans="1:12" x14ac:dyDescent="0.25">
      <c r="A144" s="30">
        <v>42608</v>
      </c>
      <c r="B144" s="32" t="s">
        <v>317</v>
      </c>
      <c r="C144" s="32" t="s">
        <v>318</v>
      </c>
      <c r="D144" s="35" t="s">
        <v>319</v>
      </c>
      <c r="E144" s="21">
        <v>9665.17</v>
      </c>
      <c r="F144" s="21">
        <v>0</v>
      </c>
      <c r="G144" s="21">
        <v>1159.82</v>
      </c>
      <c r="H144" s="21">
        <f t="shared" si="1"/>
        <v>10824.99</v>
      </c>
      <c r="I144" s="33" t="s">
        <v>320</v>
      </c>
      <c r="J144" s="25">
        <v>0</v>
      </c>
      <c r="K144" s="25">
        <f t="shared" si="7"/>
        <v>10824.99</v>
      </c>
      <c r="L144" s="45"/>
    </row>
    <row r="145" spans="1:20" x14ac:dyDescent="0.25">
      <c r="A145" s="30">
        <v>42604</v>
      </c>
      <c r="B145" s="32" t="s">
        <v>321</v>
      </c>
      <c r="C145" s="32" t="s">
        <v>322</v>
      </c>
      <c r="D145" s="35" t="s">
        <v>323</v>
      </c>
      <c r="E145" s="21">
        <v>9738.99</v>
      </c>
      <c r="F145" s="21">
        <v>0</v>
      </c>
      <c r="G145" s="21">
        <v>106.61</v>
      </c>
      <c r="H145" s="21">
        <f t="shared" si="1"/>
        <v>9845.6</v>
      </c>
      <c r="I145" s="33" t="s">
        <v>324</v>
      </c>
      <c r="J145" s="25">
        <v>0</v>
      </c>
      <c r="K145" s="25">
        <f t="shared" si="7"/>
        <v>9845.6</v>
      </c>
      <c r="L145" s="45"/>
    </row>
    <row r="146" spans="1:20" x14ac:dyDescent="0.25">
      <c r="A146" s="30">
        <v>42604</v>
      </c>
      <c r="B146" s="32" t="s">
        <v>321</v>
      </c>
      <c r="C146" s="32" t="s">
        <v>322</v>
      </c>
      <c r="D146" s="35" t="s">
        <v>323</v>
      </c>
      <c r="E146" s="21">
        <v>4701.9799999999996</v>
      </c>
      <c r="F146" s="21">
        <v>0</v>
      </c>
      <c r="G146" s="21">
        <v>0</v>
      </c>
      <c r="H146" s="21">
        <f t="shared" si="1"/>
        <v>4701.9799999999996</v>
      </c>
      <c r="I146" s="33" t="s">
        <v>325</v>
      </c>
      <c r="J146" s="25">
        <v>0</v>
      </c>
      <c r="K146" s="25">
        <f t="shared" si="7"/>
        <v>4701.9799999999996</v>
      </c>
      <c r="L146" s="45"/>
    </row>
    <row r="147" spans="1:20" x14ac:dyDescent="0.25">
      <c r="A147" s="30">
        <v>42604</v>
      </c>
      <c r="B147" s="32" t="s">
        <v>326</v>
      </c>
      <c r="C147" s="32" t="s">
        <v>327</v>
      </c>
      <c r="D147" s="35" t="s">
        <v>328</v>
      </c>
      <c r="E147" s="21">
        <v>3667.65</v>
      </c>
      <c r="F147" s="21">
        <v>0</v>
      </c>
      <c r="G147" s="21">
        <v>0</v>
      </c>
      <c r="H147" s="21">
        <f t="shared" si="1"/>
        <v>3667.65</v>
      </c>
      <c r="I147" s="33" t="s">
        <v>329</v>
      </c>
      <c r="J147" s="25">
        <v>0</v>
      </c>
      <c r="K147" s="25">
        <f t="shared" si="7"/>
        <v>3667.65</v>
      </c>
      <c r="L147" s="45"/>
    </row>
    <row r="148" spans="1:20" x14ac:dyDescent="0.25">
      <c r="A148" s="30">
        <v>42601</v>
      </c>
      <c r="B148" s="32" t="s">
        <v>346</v>
      </c>
      <c r="C148" s="32" t="s">
        <v>347</v>
      </c>
      <c r="D148" s="35" t="s">
        <v>348</v>
      </c>
      <c r="E148" s="21">
        <v>1804.91</v>
      </c>
      <c r="F148" s="21">
        <v>0</v>
      </c>
      <c r="G148" s="21">
        <v>0</v>
      </c>
      <c r="H148" s="21">
        <f t="shared" si="1"/>
        <v>1804.91</v>
      </c>
      <c r="I148" s="33" t="s">
        <v>349</v>
      </c>
      <c r="J148" s="25">
        <v>0</v>
      </c>
      <c r="K148" s="25">
        <f t="shared" si="7"/>
        <v>1804.91</v>
      </c>
      <c r="L148" s="45"/>
    </row>
    <row r="149" spans="1:20" x14ac:dyDescent="0.25">
      <c r="A149" s="30">
        <v>42601</v>
      </c>
      <c r="B149" s="32" t="s">
        <v>350</v>
      </c>
      <c r="C149" s="32" t="s">
        <v>351</v>
      </c>
      <c r="D149" s="35" t="s">
        <v>352</v>
      </c>
      <c r="E149" s="21">
        <v>4676.49</v>
      </c>
      <c r="F149" s="21">
        <v>0</v>
      </c>
      <c r="G149" s="21">
        <v>213.21</v>
      </c>
      <c r="H149" s="21">
        <f t="shared" si="1"/>
        <v>4889.7</v>
      </c>
      <c r="I149" s="33" t="s">
        <v>353</v>
      </c>
      <c r="J149" s="25">
        <v>0</v>
      </c>
      <c r="K149" s="25">
        <f t="shared" si="7"/>
        <v>4889.7</v>
      </c>
      <c r="L149" s="45"/>
    </row>
    <row r="150" spans="1:20" x14ac:dyDescent="0.25">
      <c r="A150" s="30">
        <v>42601</v>
      </c>
      <c r="B150" s="32" t="s">
        <v>350</v>
      </c>
      <c r="C150" s="32" t="s">
        <v>351</v>
      </c>
      <c r="D150" s="35" t="s">
        <v>352</v>
      </c>
      <c r="E150" s="21">
        <v>1375</v>
      </c>
      <c r="F150" s="21">
        <v>0</v>
      </c>
      <c r="G150" s="21">
        <v>165</v>
      </c>
      <c r="H150" s="21">
        <f t="shared" si="1"/>
        <v>1540</v>
      </c>
      <c r="I150" s="33" t="s">
        <v>354</v>
      </c>
      <c r="J150" s="25">
        <v>0</v>
      </c>
      <c r="K150" s="25">
        <f t="shared" si="7"/>
        <v>1540</v>
      </c>
      <c r="L150" s="45"/>
    </row>
    <row r="151" spans="1:20" x14ac:dyDescent="0.25">
      <c r="A151" s="30">
        <v>42613</v>
      </c>
      <c r="B151" s="32" t="s">
        <v>355</v>
      </c>
      <c r="C151" s="32" t="s">
        <v>356</v>
      </c>
      <c r="D151" s="35" t="s">
        <v>357</v>
      </c>
      <c r="E151" s="21">
        <v>1416</v>
      </c>
      <c r="F151" s="21">
        <v>0</v>
      </c>
      <c r="G151" s="21">
        <v>0</v>
      </c>
      <c r="H151" s="21">
        <f t="shared" si="1"/>
        <v>1416</v>
      </c>
      <c r="I151" s="33" t="s">
        <v>358</v>
      </c>
      <c r="J151" s="25">
        <v>0</v>
      </c>
      <c r="K151" s="25">
        <f t="shared" si="7"/>
        <v>1416</v>
      </c>
      <c r="L151" s="45"/>
    </row>
    <row r="152" spans="1:20" x14ac:dyDescent="0.25">
      <c r="A152" s="30">
        <v>42605</v>
      </c>
      <c r="B152" s="32" t="s">
        <v>359</v>
      </c>
      <c r="C152" s="32" t="s">
        <v>360</v>
      </c>
      <c r="D152" s="35" t="s">
        <v>361</v>
      </c>
      <c r="E152" s="21">
        <v>1280</v>
      </c>
      <c r="F152" s="21">
        <v>0</v>
      </c>
      <c r="G152" s="21">
        <v>0</v>
      </c>
      <c r="H152" s="21">
        <f t="shared" si="1"/>
        <v>1280</v>
      </c>
      <c r="I152" s="33" t="s">
        <v>362</v>
      </c>
      <c r="J152" s="25">
        <v>0</v>
      </c>
      <c r="K152" s="25">
        <f t="shared" si="7"/>
        <v>1280</v>
      </c>
      <c r="L152" s="45"/>
    </row>
    <row r="153" spans="1:20" x14ac:dyDescent="0.25">
      <c r="A153" s="30">
        <v>42597</v>
      </c>
      <c r="B153" s="32" t="s">
        <v>363</v>
      </c>
      <c r="C153" s="32" t="s">
        <v>364</v>
      </c>
      <c r="D153" s="35" t="s">
        <v>365</v>
      </c>
      <c r="E153" s="21">
        <v>4275</v>
      </c>
      <c r="F153" s="21">
        <v>0</v>
      </c>
      <c r="G153" s="21">
        <v>0</v>
      </c>
      <c r="H153" s="21">
        <f t="shared" si="1"/>
        <v>4275</v>
      </c>
      <c r="I153" s="33" t="s">
        <v>366</v>
      </c>
      <c r="J153" s="25">
        <v>0</v>
      </c>
      <c r="K153" s="25">
        <f t="shared" si="7"/>
        <v>4275</v>
      </c>
      <c r="L153" s="45"/>
    </row>
    <row r="154" spans="1:20" x14ac:dyDescent="0.25">
      <c r="A154" s="71"/>
      <c r="B154" s="71"/>
      <c r="C154" s="71"/>
      <c r="D154" s="71"/>
      <c r="E154" s="46">
        <f>SUM(E11:E153)</f>
        <v>406114.62</v>
      </c>
      <c r="F154" s="46">
        <f>SUM(F11:F153)</f>
        <v>0</v>
      </c>
      <c r="G154" s="46">
        <f>SUM(G11:G153)</f>
        <v>9427.06</v>
      </c>
      <c r="H154" s="46">
        <f>SUM(H11:H153)</f>
        <v>415978.86999999994</v>
      </c>
      <c r="I154" s="46"/>
      <c r="J154" s="46">
        <f>SUM(J11:J153)</f>
        <v>0</v>
      </c>
      <c r="K154" s="46">
        <f>SUM(K11:K153)</f>
        <v>415541.67999999993</v>
      </c>
      <c r="M154" s="9"/>
      <c r="O154" s="17"/>
      <c r="P154" s="18"/>
      <c r="Q154" s="18"/>
      <c r="R154" s="18"/>
      <c r="S154" s="18"/>
      <c r="T154" s="19"/>
    </row>
    <row r="155" spans="1:20" x14ac:dyDescent="0.25">
      <c r="A155" s="1"/>
      <c r="B155" s="15"/>
      <c r="C155" s="1"/>
      <c r="D155" s="1"/>
      <c r="E155" s="6"/>
      <c r="F155" s="4"/>
      <c r="G155" s="4"/>
      <c r="H155" s="7"/>
      <c r="I155" s="28"/>
      <c r="J155" s="8"/>
      <c r="K155" s="3"/>
      <c r="O155" s="17"/>
      <c r="P155" s="18"/>
      <c r="Q155" s="18"/>
      <c r="R155" s="18"/>
      <c r="S155" s="18"/>
      <c r="T155" s="19"/>
    </row>
    <row r="156" spans="1:20" x14ac:dyDescent="0.25">
      <c r="A156" s="2"/>
      <c r="B156" s="72" t="s">
        <v>13</v>
      </c>
      <c r="C156" s="73"/>
      <c r="D156" s="74"/>
      <c r="E156" s="75" t="s">
        <v>14</v>
      </c>
      <c r="F156" s="75"/>
      <c r="G156" s="75"/>
      <c r="H156" s="75"/>
      <c r="I156" s="75"/>
      <c r="J156" s="76"/>
      <c r="K156" s="5"/>
    </row>
    <row r="157" spans="1:20" x14ac:dyDescent="0.25">
      <c r="A157" s="2"/>
      <c r="B157" s="77"/>
      <c r="C157" s="78"/>
      <c r="D157" s="79"/>
      <c r="E157" s="83"/>
      <c r="F157" s="84"/>
      <c r="G157" s="84"/>
      <c r="H157" s="84"/>
      <c r="I157" s="84"/>
      <c r="J157" s="85"/>
      <c r="K157" s="5"/>
    </row>
    <row r="158" spans="1:20" x14ac:dyDescent="0.25">
      <c r="A158" s="1"/>
      <c r="B158" s="80"/>
      <c r="C158" s="81"/>
      <c r="D158" s="82"/>
      <c r="E158" s="86"/>
      <c r="F158" s="87"/>
      <c r="G158" s="87"/>
      <c r="H158" s="87"/>
      <c r="I158" s="87"/>
      <c r="J158" s="88"/>
      <c r="K158" s="1"/>
    </row>
    <row r="159" spans="1:20" x14ac:dyDescent="0.25">
      <c r="A159" s="1"/>
      <c r="B159" s="65" t="s">
        <v>393</v>
      </c>
      <c r="C159" s="66"/>
      <c r="D159" s="67"/>
      <c r="E159" s="68" t="s">
        <v>15</v>
      </c>
      <c r="F159" s="69"/>
      <c r="G159" s="69"/>
      <c r="H159" s="69"/>
      <c r="I159" s="69"/>
      <c r="J159" s="70"/>
      <c r="K159" s="1"/>
    </row>
    <row r="160" spans="1:20" x14ac:dyDescent="0.25">
      <c r="M160" s="9"/>
    </row>
  </sheetData>
  <sortState ref="D8:L75">
    <sortCondition ref="D8"/>
  </sortState>
  <mergeCells count="13">
    <mergeCell ref="B159:D159"/>
    <mergeCell ref="E159:J159"/>
    <mergeCell ref="A154:D154"/>
    <mergeCell ref="B156:D156"/>
    <mergeCell ref="E156:J156"/>
    <mergeCell ref="B157:D158"/>
    <mergeCell ref="E157:J158"/>
    <mergeCell ref="A9:K9"/>
    <mergeCell ref="A1:K1"/>
    <mergeCell ref="A2:K2"/>
    <mergeCell ref="A3:K3"/>
    <mergeCell ref="A7:K7"/>
    <mergeCell ref="A8:K8"/>
  </mergeCells>
  <printOptions horizontalCentered="1"/>
  <pageMargins left="0" right="0" top="0" bottom="0" header="0.31496062992125984" footer="0.31496062992125984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CAPPO</vt:lpstr>
      <vt:lpstr>Hoja1</vt:lpstr>
    </vt:vector>
  </TitlesOfParts>
  <Company>farmacia universidad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farmacia universidad cappoucla</dc:creator>
  <cp:lastModifiedBy>usuario</cp:lastModifiedBy>
  <cp:lastPrinted>2014-09-05T15:24:20Z</cp:lastPrinted>
  <dcterms:created xsi:type="dcterms:W3CDTF">2011-11-14T15:12:23Z</dcterms:created>
  <dcterms:modified xsi:type="dcterms:W3CDTF">2016-09-21T14:12:50Z</dcterms:modified>
</cp:coreProperties>
</file>