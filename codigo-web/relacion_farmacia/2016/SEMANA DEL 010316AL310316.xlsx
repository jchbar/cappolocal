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45" windowWidth="12120" windowHeight="8130" activeTab="1"/>
  </bookViews>
  <sheets>
    <sheet name="CAPPO CORREO" sheetId="1" r:id="rId1"/>
    <sheet name="Hoja1" sheetId="2" r:id="rId2"/>
  </sheets>
  <calcPr calcId="144525"/>
</workbook>
</file>

<file path=xl/calcChain.xml><?xml version="1.0" encoding="utf-8"?>
<calcChain xmlns="http://schemas.openxmlformats.org/spreadsheetml/2006/main">
  <c r="C200" i="2" l="1"/>
  <c r="E200" i="2" s="1"/>
  <c r="B200" i="2"/>
  <c r="A200" i="2"/>
  <c r="C199" i="2"/>
  <c r="E199" i="2" s="1"/>
  <c r="B199" i="2"/>
  <c r="A199" i="2"/>
  <c r="C198" i="2"/>
  <c r="E198" i="2" s="1"/>
  <c r="B198" i="2"/>
  <c r="A198" i="2"/>
  <c r="C197" i="2"/>
  <c r="E197" i="2" s="1"/>
  <c r="B197" i="2"/>
  <c r="A197" i="2"/>
  <c r="C196" i="2"/>
  <c r="E196" i="2" s="1"/>
  <c r="B196" i="2"/>
  <c r="A196" i="2"/>
  <c r="C195" i="2"/>
  <c r="E195" i="2" s="1"/>
  <c r="B195" i="2"/>
  <c r="A195" i="2"/>
  <c r="C194" i="2"/>
  <c r="E194" i="2" s="1"/>
  <c r="B194" i="2"/>
  <c r="A194" i="2"/>
  <c r="C193" i="2"/>
  <c r="E193" i="2" s="1"/>
  <c r="B193" i="2"/>
  <c r="A193" i="2"/>
  <c r="C192" i="2"/>
  <c r="E192" i="2" s="1"/>
  <c r="B192" i="2"/>
  <c r="A192" i="2"/>
  <c r="C191" i="2"/>
  <c r="E191" i="2" s="1"/>
  <c r="B191" i="2"/>
  <c r="A191" i="2"/>
  <c r="C190" i="2"/>
  <c r="E190" i="2" s="1"/>
  <c r="B190" i="2"/>
  <c r="A190" i="2"/>
  <c r="C189" i="2"/>
  <c r="E189" i="2" s="1"/>
  <c r="B189" i="2"/>
  <c r="A189" i="2"/>
  <c r="C188" i="2"/>
  <c r="E188" i="2" s="1"/>
  <c r="B188" i="2"/>
  <c r="A188" i="2"/>
  <c r="C187" i="2"/>
  <c r="E187" i="2" s="1"/>
  <c r="B187" i="2"/>
  <c r="A187" i="2"/>
  <c r="C186" i="2"/>
  <c r="E186" i="2" s="1"/>
  <c r="B186" i="2"/>
  <c r="A186" i="2"/>
  <c r="C185" i="2"/>
  <c r="E185" i="2" s="1"/>
  <c r="B185" i="2"/>
  <c r="A185" i="2"/>
  <c r="C184" i="2"/>
  <c r="E184" i="2" s="1"/>
  <c r="B184" i="2"/>
  <c r="A184" i="2"/>
  <c r="C183" i="2"/>
  <c r="E183" i="2" s="1"/>
  <c r="B183" i="2"/>
  <c r="A183" i="2"/>
  <c r="C182" i="2"/>
  <c r="E182" i="2" s="1"/>
  <c r="B182" i="2"/>
  <c r="A182" i="2"/>
  <c r="C181" i="2"/>
  <c r="E181" i="2" s="1"/>
  <c r="B181" i="2"/>
  <c r="A181" i="2"/>
  <c r="C180" i="2"/>
  <c r="E180" i="2" s="1"/>
  <c r="B180" i="2"/>
  <c r="A180" i="2"/>
  <c r="C179" i="2"/>
  <c r="E179" i="2" s="1"/>
  <c r="B179" i="2"/>
  <c r="A179" i="2"/>
  <c r="C178" i="2"/>
  <c r="E178" i="2" s="1"/>
  <c r="B178" i="2"/>
  <c r="A178" i="2"/>
  <c r="C177" i="2"/>
  <c r="E177" i="2" s="1"/>
  <c r="B177" i="2"/>
  <c r="A177" i="2"/>
  <c r="C176" i="2"/>
  <c r="E176" i="2" s="1"/>
  <c r="B176" i="2"/>
  <c r="A176" i="2"/>
  <c r="C175" i="2"/>
  <c r="E175" i="2" s="1"/>
  <c r="B175" i="2"/>
  <c r="A175" i="2"/>
  <c r="C174" i="2"/>
  <c r="E174" i="2" s="1"/>
  <c r="B174" i="2"/>
  <c r="A174" i="2"/>
  <c r="C173" i="2"/>
  <c r="E173" i="2" s="1"/>
  <c r="B173" i="2"/>
  <c r="A173" i="2"/>
  <c r="C172" i="2"/>
  <c r="E172" i="2" s="1"/>
  <c r="B172" i="2"/>
  <c r="A172" i="2"/>
  <c r="C171" i="2"/>
  <c r="E171" i="2" s="1"/>
  <c r="B171" i="2"/>
  <c r="A171" i="2"/>
  <c r="C170" i="2"/>
  <c r="E170" i="2" s="1"/>
  <c r="B170" i="2"/>
  <c r="A170" i="2"/>
  <c r="C169" i="2"/>
  <c r="E169" i="2" s="1"/>
  <c r="B169" i="2"/>
  <c r="A169" i="2"/>
  <c r="C168" i="2"/>
  <c r="E168" i="2" s="1"/>
  <c r="B168" i="2"/>
  <c r="A168" i="2"/>
  <c r="C167" i="2"/>
  <c r="E167" i="2" s="1"/>
  <c r="B167" i="2"/>
  <c r="A167" i="2"/>
  <c r="C166" i="2"/>
  <c r="E166" i="2" s="1"/>
  <c r="B166" i="2"/>
  <c r="A166" i="2"/>
  <c r="C165" i="2"/>
  <c r="E165" i="2" s="1"/>
  <c r="B165" i="2"/>
  <c r="A165" i="2"/>
  <c r="C164" i="2"/>
  <c r="E164" i="2" s="1"/>
  <c r="B164" i="2"/>
  <c r="A164" i="2"/>
  <c r="C163" i="2"/>
  <c r="E163" i="2" s="1"/>
  <c r="B163" i="2"/>
  <c r="A163" i="2"/>
  <c r="C162" i="2"/>
  <c r="E162" i="2" s="1"/>
  <c r="B162" i="2"/>
  <c r="A162" i="2"/>
  <c r="C161" i="2"/>
  <c r="E161" i="2" s="1"/>
  <c r="B161" i="2"/>
  <c r="A161" i="2"/>
  <c r="C160" i="2"/>
  <c r="E160" i="2" s="1"/>
  <c r="B160" i="2"/>
  <c r="A160" i="2"/>
  <c r="C159" i="2"/>
  <c r="E159" i="2" s="1"/>
  <c r="B159" i="2"/>
  <c r="A159" i="2"/>
  <c r="C158" i="2"/>
  <c r="E158" i="2" s="1"/>
  <c r="B158" i="2"/>
  <c r="A158" i="2"/>
  <c r="C157" i="2"/>
  <c r="E157" i="2" s="1"/>
  <c r="B157" i="2"/>
  <c r="A157" i="2"/>
  <c r="C156" i="2"/>
  <c r="E156" i="2" s="1"/>
  <c r="B156" i="2"/>
  <c r="A156" i="2"/>
  <c r="C155" i="2"/>
  <c r="E155" i="2" s="1"/>
  <c r="B155" i="2"/>
  <c r="A155" i="2"/>
  <c r="C154" i="2"/>
  <c r="E154" i="2" s="1"/>
  <c r="B154" i="2"/>
  <c r="A154" i="2"/>
  <c r="C153" i="2"/>
  <c r="E153" i="2" s="1"/>
  <c r="B153" i="2"/>
  <c r="A153" i="2"/>
  <c r="C152" i="2"/>
  <c r="E152" i="2" s="1"/>
  <c r="B152" i="2"/>
  <c r="A152" i="2"/>
  <c r="C151" i="2"/>
  <c r="E151" i="2" s="1"/>
  <c r="B151" i="2"/>
  <c r="A151" i="2"/>
  <c r="C150" i="2"/>
  <c r="E150" i="2" s="1"/>
  <c r="B150" i="2"/>
  <c r="A150" i="2"/>
  <c r="C149" i="2"/>
  <c r="E149" i="2" s="1"/>
  <c r="B149" i="2"/>
  <c r="A149" i="2"/>
  <c r="C148" i="2"/>
  <c r="E148" i="2" s="1"/>
  <c r="B148" i="2"/>
  <c r="A148" i="2"/>
  <c r="C147" i="2"/>
  <c r="E147" i="2" s="1"/>
  <c r="B147" i="2"/>
  <c r="A147" i="2"/>
  <c r="C146" i="2"/>
  <c r="E146" i="2" s="1"/>
  <c r="B146" i="2"/>
  <c r="A146" i="2"/>
  <c r="C145" i="2"/>
  <c r="E145" i="2" s="1"/>
  <c r="B145" i="2"/>
  <c r="A145" i="2"/>
  <c r="C144" i="2"/>
  <c r="E144" i="2" s="1"/>
  <c r="B144" i="2"/>
  <c r="A144" i="2"/>
  <c r="C143" i="2"/>
  <c r="E143" i="2" s="1"/>
  <c r="B143" i="2"/>
  <c r="A143" i="2"/>
  <c r="C142" i="2"/>
  <c r="E142" i="2" s="1"/>
  <c r="B142" i="2"/>
  <c r="A142" i="2"/>
  <c r="C141" i="2"/>
  <c r="E141" i="2" s="1"/>
  <c r="B141" i="2"/>
  <c r="A141" i="2"/>
  <c r="C140" i="2"/>
  <c r="E140" i="2" s="1"/>
  <c r="B140" i="2"/>
  <c r="A140" i="2"/>
  <c r="C139" i="2"/>
  <c r="E139" i="2" s="1"/>
  <c r="B139" i="2"/>
  <c r="A139" i="2"/>
  <c r="C138" i="2"/>
  <c r="E138" i="2" s="1"/>
  <c r="B138" i="2"/>
  <c r="A138" i="2"/>
  <c r="C137" i="2"/>
  <c r="E137" i="2" s="1"/>
  <c r="B137" i="2"/>
  <c r="A137" i="2"/>
  <c r="C136" i="2"/>
  <c r="E136" i="2" s="1"/>
  <c r="B136" i="2"/>
  <c r="A136" i="2"/>
  <c r="C135" i="2"/>
  <c r="E135" i="2" s="1"/>
  <c r="B135" i="2"/>
  <c r="A135" i="2"/>
  <c r="C134" i="2"/>
  <c r="E134" i="2" s="1"/>
  <c r="B134" i="2"/>
  <c r="A134" i="2"/>
  <c r="C133" i="2"/>
  <c r="E133" i="2" s="1"/>
  <c r="B133" i="2"/>
  <c r="A133" i="2"/>
  <c r="C132" i="2"/>
  <c r="E132" i="2" s="1"/>
  <c r="B132" i="2"/>
  <c r="A132" i="2"/>
  <c r="C131" i="2"/>
  <c r="E131" i="2" s="1"/>
  <c r="B131" i="2"/>
  <c r="A131" i="2"/>
  <c r="C130" i="2"/>
  <c r="E130" i="2" s="1"/>
  <c r="B130" i="2"/>
  <c r="A130" i="2"/>
  <c r="C129" i="2"/>
  <c r="E129" i="2" s="1"/>
  <c r="B129" i="2"/>
  <c r="A129" i="2"/>
  <c r="C128" i="2"/>
  <c r="E128" i="2" s="1"/>
  <c r="B128" i="2"/>
  <c r="A128" i="2"/>
  <c r="C127" i="2"/>
  <c r="E127" i="2" s="1"/>
  <c r="B127" i="2"/>
  <c r="A127" i="2"/>
  <c r="C126" i="2"/>
  <c r="E126" i="2" s="1"/>
  <c r="B126" i="2"/>
  <c r="A126" i="2"/>
  <c r="C125" i="2"/>
  <c r="E125" i="2" s="1"/>
  <c r="B125" i="2"/>
  <c r="A125" i="2"/>
  <c r="C124" i="2"/>
  <c r="E124" i="2" s="1"/>
  <c r="B124" i="2"/>
  <c r="A124" i="2"/>
  <c r="C123" i="2"/>
  <c r="E123" i="2" s="1"/>
  <c r="B123" i="2"/>
  <c r="A123" i="2"/>
  <c r="C122" i="2"/>
  <c r="E122" i="2" s="1"/>
  <c r="B122" i="2"/>
  <c r="A122" i="2"/>
  <c r="C121" i="2"/>
  <c r="E121" i="2" s="1"/>
  <c r="B121" i="2"/>
  <c r="A121" i="2"/>
  <c r="C120" i="2"/>
  <c r="E120" i="2" s="1"/>
  <c r="B120" i="2"/>
  <c r="A120" i="2"/>
  <c r="C119" i="2"/>
  <c r="E119" i="2" s="1"/>
  <c r="B119" i="2"/>
  <c r="A119" i="2"/>
  <c r="C118" i="2"/>
  <c r="E118" i="2" s="1"/>
  <c r="B118" i="2"/>
  <c r="A118" i="2"/>
  <c r="C117" i="2"/>
  <c r="E117" i="2" s="1"/>
  <c r="B117" i="2"/>
  <c r="A117" i="2"/>
  <c r="C116" i="2"/>
  <c r="E116" i="2" s="1"/>
  <c r="B116" i="2"/>
  <c r="A116" i="2"/>
  <c r="C115" i="2"/>
  <c r="E115" i="2" s="1"/>
  <c r="B115" i="2"/>
  <c r="A115" i="2"/>
  <c r="C114" i="2"/>
  <c r="E114" i="2" s="1"/>
  <c r="B114" i="2"/>
  <c r="A114" i="2"/>
  <c r="C113" i="2"/>
  <c r="E113" i="2" s="1"/>
  <c r="B113" i="2"/>
  <c r="A113" i="2"/>
  <c r="C112" i="2"/>
  <c r="E112" i="2" s="1"/>
  <c r="B112" i="2"/>
  <c r="A112" i="2"/>
  <c r="C111" i="2"/>
  <c r="E111" i="2" s="1"/>
  <c r="B111" i="2"/>
  <c r="A111" i="2"/>
  <c r="C110" i="2"/>
  <c r="E110" i="2" s="1"/>
  <c r="B110" i="2"/>
  <c r="A110" i="2"/>
  <c r="C109" i="2"/>
  <c r="E109" i="2" s="1"/>
  <c r="B109" i="2"/>
  <c r="A109" i="2"/>
  <c r="C108" i="2"/>
  <c r="E108" i="2" s="1"/>
  <c r="B108" i="2"/>
  <c r="A108" i="2"/>
  <c r="C107" i="2"/>
  <c r="E107" i="2" s="1"/>
  <c r="B107" i="2"/>
  <c r="A107" i="2"/>
  <c r="C106" i="2"/>
  <c r="E106" i="2" s="1"/>
  <c r="B106" i="2"/>
  <c r="A106" i="2"/>
  <c r="C105" i="2"/>
  <c r="E105" i="2" s="1"/>
  <c r="B105" i="2"/>
  <c r="A105" i="2"/>
  <c r="C104" i="2"/>
  <c r="E104" i="2" s="1"/>
  <c r="B104" i="2"/>
  <c r="A104" i="2"/>
  <c r="C103" i="2"/>
  <c r="E103" i="2" s="1"/>
  <c r="B103" i="2"/>
  <c r="A103" i="2"/>
  <c r="C102" i="2"/>
  <c r="E102" i="2" s="1"/>
  <c r="B102" i="2"/>
  <c r="A102" i="2"/>
  <c r="C101" i="2"/>
  <c r="E101" i="2" s="1"/>
  <c r="B101" i="2"/>
  <c r="A101" i="2"/>
  <c r="C100" i="2"/>
  <c r="E100" i="2" s="1"/>
  <c r="B100" i="2"/>
  <c r="A100" i="2"/>
  <c r="C99" i="2"/>
  <c r="E99" i="2" s="1"/>
  <c r="B99" i="2"/>
  <c r="A99" i="2"/>
  <c r="C98" i="2"/>
  <c r="E98" i="2" s="1"/>
  <c r="B98" i="2"/>
  <c r="A98" i="2"/>
  <c r="C97" i="2"/>
  <c r="E97" i="2" s="1"/>
  <c r="B97" i="2"/>
  <c r="A97" i="2"/>
  <c r="C96" i="2"/>
  <c r="E96" i="2" s="1"/>
  <c r="B96" i="2"/>
  <c r="A96" i="2"/>
  <c r="C95" i="2"/>
  <c r="E95" i="2" s="1"/>
  <c r="B95" i="2"/>
  <c r="A95" i="2"/>
  <c r="C94" i="2"/>
  <c r="E94" i="2" s="1"/>
  <c r="B94" i="2"/>
  <c r="A94" i="2"/>
  <c r="C93" i="2"/>
  <c r="E93" i="2" s="1"/>
  <c r="B93" i="2"/>
  <c r="A93" i="2"/>
  <c r="C92" i="2"/>
  <c r="E92" i="2" s="1"/>
  <c r="B92" i="2"/>
  <c r="A92" i="2"/>
  <c r="C91" i="2"/>
  <c r="E91" i="2" s="1"/>
  <c r="B91" i="2"/>
  <c r="A91" i="2"/>
  <c r="C90" i="2"/>
  <c r="E90" i="2" s="1"/>
  <c r="B90" i="2"/>
  <c r="A90" i="2"/>
  <c r="C89" i="2"/>
  <c r="E89" i="2" s="1"/>
  <c r="B89" i="2"/>
  <c r="A89" i="2"/>
  <c r="C88" i="2"/>
  <c r="E88" i="2" s="1"/>
  <c r="B88" i="2"/>
  <c r="A88" i="2"/>
  <c r="C87" i="2"/>
  <c r="E87" i="2" s="1"/>
  <c r="B87" i="2"/>
  <c r="A87" i="2"/>
  <c r="C86" i="2"/>
  <c r="E86" i="2" s="1"/>
  <c r="B86" i="2"/>
  <c r="A86" i="2"/>
  <c r="C85" i="2"/>
  <c r="E85" i="2" s="1"/>
  <c r="B85" i="2"/>
  <c r="A85" i="2"/>
  <c r="C84" i="2"/>
  <c r="E84" i="2" s="1"/>
  <c r="B84" i="2"/>
  <c r="A84" i="2"/>
  <c r="C83" i="2"/>
  <c r="E83" i="2" s="1"/>
  <c r="B83" i="2"/>
  <c r="A83" i="2"/>
  <c r="C82" i="2"/>
  <c r="E82" i="2" s="1"/>
  <c r="B82" i="2"/>
  <c r="A82" i="2"/>
  <c r="C81" i="2"/>
  <c r="E81" i="2" s="1"/>
  <c r="B81" i="2"/>
  <c r="A81" i="2"/>
  <c r="C80" i="2"/>
  <c r="E80" i="2" s="1"/>
  <c r="B80" i="2"/>
  <c r="A80" i="2"/>
  <c r="C79" i="2"/>
  <c r="E79" i="2" s="1"/>
  <c r="B79" i="2"/>
  <c r="A79" i="2"/>
  <c r="C78" i="2"/>
  <c r="E78" i="2" s="1"/>
  <c r="B78" i="2"/>
  <c r="A78" i="2"/>
  <c r="C77" i="2"/>
  <c r="E77" i="2" s="1"/>
  <c r="B77" i="2"/>
  <c r="A77" i="2"/>
  <c r="C76" i="2"/>
  <c r="E76" i="2" s="1"/>
  <c r="B76" i="2"/>
  <c r="A76" i="2"/>
  <c r="C75" i="2"/>
  <c r="E75" i="2" s="1"/>
  <c r="B75" i="2"/>
  <c r="A75" i="2"/>
  <c r="C74" i="2"/>
  <c r="E74" i="2" s="1"/>
  <c r="B74" i="2"/>
  <c r="A74" i="2"/>
  <c r="C73" i="2"/>
  <c r="E73" i="2" s="1"/>
  <c r="B73" i="2"/>
  <c r="A73" i="2"/>
  <c r="C72" i="2"/>
  <c r="E72" i="2" s="1"/>
  <c r="B72" i="2"/>
  <c r="A72" i="2"/>
  <c r="C71" i="2"/>
  <c r="E71" i="2" s="1"/>
  <c r="B71" i="2"/>
  <c r="A71" i="2"/>
  <c r="C70" i="2"/>
  <c r="E70" i="2" s="1"/>
  <c r="B70" i="2"/>
  <c r="A70" i="2"/>
  <c r="C69" i="2"/>
  <c r="E69" i="2" s="1"/>
  <c r="B69" i="2"/>
  <c r="A69" i="2"/>
  <c r="C68" i="2"/>
  <c r="E68" i="2" s="1"/>
  <c r="B68" i="2"/>
  <c r="A68" i="2"/>
  <c r="C67" i="2"/>
  <c r="E67" i="2" s="1"/>
  <c r="B67" i="2"/>
  <c r="A67" i="2"/>
  <c r="C66" i="2"/>
  <c r="E66" i="2" s="1"/>
  <c r="B66" i="2"/>
  <c r="A66" i="2"/>
  <c r="C65" i="2"/>
  <c r="E65" i="2" s="1"/>
  <c r="B65" i="2"/>
  <c r="A65" i="2"/>
  <c r="C64" i="2"/>
  <c r="E64" i="2" s="1"/>
  <c r="B64" i="2"/>
  <c r="A64" i="2"/>
  <c r="C63" i="2"/>
  <c r="E63" i="2" s="1"/>
  <c r="B63" i="2"/>
  <c r="A63" i="2"/>
  <c r="C62" i="2"/>
  <c r="E62" i="2" s="1"/>
  <c r="B62" i="2"/>
  <c r="A62" i="2"/>
  <c r="C61" i="2"/>
  <c r="E61" i="2" s="1"/>
  <c r="B61" i="2"/>
  <c r="A61" i="2"/>
  <c r="C60" i="2"/>
  <c r="E60" i="2" s="1"/>
  <c r="B60" i="2"/>
  <c r="A60" i="2"/>
  <c r="C59" i="2"/>
  <c r="E59" i="2" s="1"/>
  <c r="B59" i="2"/>
  <c r="A59" i="2"/>
  <c r="C58" i="2"/>
  <c r="E58" i="2" s="1"/>
  <c r="B58" i="2"/>
  <c r="A58" i="2"/>
  <c r="C57" i="2"/>
  <c r="E57" i="2" s="1"/>
  <c r="B57" i="2"/>
  <c r="A57" i="2"/>
  <c r="C56" i="2"/>
  <c r="E56" i="2" s="1"/>
  <c r="B56" i="2"/>
  <c r="A56" i="2"/>
  <c r="C55" i="2"/>
  <c r="E55" i="2" s="1"/>
  <c r="B55" i="2"/>
  <c r="A55" i="2"/>
  <c r="C54" i="2"/>
  <c r="E54" i="2" s="1"/>
  <c r="B54" i="2"/>
  <c r="A54" i="2"/>
  <c r="C53" i="2"/>
  <c r="E53" i="2" s="1"/>
  <c r="B53" i="2"/>
  <c r="A53" i="2"/>
  <c r="C52" i="2"/>
  <c r="E52" i="2" s="1"/>
  <c r="B52" i="2"/>
  <c r="A52" i="2"/>
  <c r="C51" i="2"/>
  <c r="E51" i="2" s="1"/>
  <c r="B51" i="2"/>
  <c r="A51" i="2"/>
  <c r="C50" i="2"/>
  <c r="E50" i="2" s="1"/>
  <c r="B50" i="2"/>
  <c r="A50" i="2"/>
  <c r="C49" i="2"/>
  <c r="E49" i="2" s="1"/>
  <c r="B49" i="2"/>
  <c r="A49" i="2"/>
  <c r="C48" i="2"/>
  <c r="E48" i="2" s="1"/>
  <c r="B48" i="2"/>
  <c r="A48" i="2"/>
  <c r="C47" i="2"/>
  <c r="E47" i="2" s="1"/>
  <c r="B47" i="2"/>
  <c r="A47" i="2"/>
  <c r="C46" i="2"/>
  <c r="E46" i="2" s="1"/>
  <c r="B46" i="2"/>
  <c r="A46" i="2"/>
  <c r="C45" i="2"/>
  <c r="E45" i="2" s="1"/>
  <c r="B45" i="2"/>
  <c r="A45" i="2"/>
  <c r="C44" i="2"/>
  <c r="E44" i="2" s="1"/>
  <c r="B44" i="2"/>
  <c r="A44" i="2"/>
  <c r="C43" i="2"/>
  <c r="E43" i="2" s="1"/>
  <c r="B43" i="2"/>
  <c r="A43" i="2"/>
  <c r="C42" i="2"/>
  <c r="E42" i="2" s="1"/>
  <c r="B42" i="2"/>
  <c r="A42" i="2"/>
  <c r="C41" i="2"/>
  <c r="E41" i="2" s="1"/>
  <c r="B41" i="2"/>
  <c r="A41" i="2"/>
  <c r="C40" i="2"/>
  <c r="E40" i="2" s="1"/>
  <c r="B40" i="2"/>
  <c r="A40" i="2"/>
  <c r="C39" i="2"/>
  <c r="E39" i="2" s="1"/>
  <c r="B39" i="2"/>
  <c r="A39" i="2"/>
  <c r="C38" i="2"/>
  <c r="E38" i="2" s="1"/>
  <c r="B38" i="2"/>
  <c r="A38" i="2"/>
  <c r="C37" i="2"/>
  <c r="E37" i="2" s="1"/>
  <c r="B37" i="2"/>
  <c r="A37" i="2"/>
  <c r="C36" i="2"/>
  <c r="E36" i="2" s="1"/>
  <c r="B36" i="2"/>
  <c r="A36" i="2"/>
  <c r="C35" i="2"/>
  <c r="E35" i="2" s="1"/>
  <c r="B35" i="2"/>
  <c r="A35" i="2"/>
  <c r="C34" i="2"/>
  <c r="E34" i="2" s="1"/>
  <c r="B34" i="2"/>
  <c r="A34" i="2"/>
  <c r="C33" i="2"/>
  <c r="E33" i="2" s="1"/>
  <c r="B33" i="2"/>
  <c r="A33" i="2"/>
  <c r="C32" i="2"/>
  <c r="E32" i="2" s="1"/>
  <c r="B32" i="2"/>
  <c r="A32" i="2"/>
  <c r="C31" i="2"/>
  <c r="E31" i="2" s="1"/>
  <c r="B31" i="2"/>
  <c r="A31" i="2"/>
  <c r="C30" i="2"/>
  <c r="E30" i="2" s="1"/>
  <c r="B30" i="2"/>
  <c r="A30" i="2"/>
  <c r="C29" i="2"/>
  <c r="E29" i="2" s="1"/>
  <c r="B29" i="2"/>
  <c r="A29" i="2"/>
  <c r="C28" i="2"/>
  <c r="E28" i="2" s="1"/>
  <c r="B28" i="2"/>
  <c r="A28" i="2"/>
  <c r="C27" i="2"/>
  <c r="E27" i="2" s="1"/>
  <c r="B27" i="2"/>
  <c r="A27" i="2"/>
  <c r="C26" i="2"/>
  <c r="E26" i="2" s="1"/>
  <c r="B26" i="2"/>
  <c r="A26" i="2"/>
  <c r="C25" i="2"/>
  <c r="E25" i="2" s="1"/>
  <c r="B25" i="2"/>
  <c r="A25" i="2"/>
  <c r="C24" i="2"/>
  <c r="E24" i="2" s="1"/>
  <c r="B24" i="2"/>
  <c r="A24" i="2"/>
  <c r="C23" i="2"/>
  <c r="E23" i="2" s="1"/>
  <c r="B23" i="2"/>
  <c r="A23" i="2"/>
  <c r="C22" i="2"/>
  <c r="E22" i="2" s="1"/>
  <c r="B22" i="2"/>
  <c r="A22" i="2"/>
  <c r="C21" i="2"/>
  <c r="E21" i="2" s="1"/>
  <c r="B21" i="2"/>
  <c r="A21" i="2"/>
  <c r="C20" i="2"/>
  <c r="E20" i="2" s="1"/>
  <c r="B20" i="2"/>
  <c r="A20" i="2"/>
  <c r="C19" i="2"/>
  <c r="E19" i="2" s="1"/>
  <c r="B19" i="2"/>
  <c r="A19" i="2"/>
  <c r="C18" i="2"/>
  <c r="E18" i="2" s="1"/>
  <c r="B18" i="2"/>
  <c r="A18" i="2"/>
  <c r="C17" i="2"/>
  <c r="E17" i="2" s="1"/>
  <c r="B17" i="2"/>
  <c r="A17" i="2"/>
  <c r="C16" i="2"/>
  <c r="E16" i="2" s="1"/>
  <c r="B16" i="2"/>
  <c r="A16" i="2"/>
  <c r="C15" i="2"/>
  <c r="E15" i="2" s="1"/>
  <c r="B15" i="2"/>
  <c r="A15" i="2"/>
  <c r="C14" i="2"/>
  <c r="E14" i="2" s="1"/>
  <c r="B14" i="2"/>
  <c r="A14" i="2"/>
  <c r="C13" i="2"/>
  <c r="E13" i="2" s="1"/>
  <c r="B13" i="2"/>
  <c r="A13" i="2"/>
  <c r="C12" i="2"/>
  <c r="E12" i="2" s="1"/>
  <c r="B12" i="2"/>
  <c r="A12" i="2"/>
  <c r="C11" i="2"/>
  <c r="E11" i="2" s="1"/>
  <c r="B11" i="2"/>
  <c r="A11" i="2"/>
  <c r="C10" i="2"/>
  <c r="E10" i="2" s="1"/>
  <c r="B10" i="2"/>
  <c r="A10" i="2"/>
  <c r="C9" i="2"/>
  <c r="E9" i="2" s="1"/>
  <c r="B9" i="2"/>
  <c r="A9" i="2"/>
  <c r="C8" i="2"/>
  <c r="E8" i="2" s="1"/>
  <c r="B8" i="2"/>
  <c r="A8" i="2"/>
  <c r="C7" i="2"/>
  <c r="E7" i="2" s="1"/>
  <c r="B7" i="2"/>
  <c r="A7" i="2"/>
  <c r="C6" i="2"/>
  <c r="E6" i="2" s="1"/>
  <c r="B6" i="2"/>
  <c r="A6" i="2"/>
  <c r="C5" i="2"/>
  <c r="E5" i="2" s="1"/>
  <c r="B5" i="2"/>
  <c r="A5" i="2"/>
  <c r="C4" i="2"/>
  <c r="E4" i="2" s="1"/>
  <c r="B4" i="2"/>
  <c r="A4" i="2"/>
  <c r="C3" i="2"/>
  <c r="E3" i="2" s="1"/>
  <c r="B3" i="2"/>
  <c r="A3" i="2"/>
  <c r="C2" i="2"/>
  <c r="E2" i="2" s="1"/>
  <c r="B2" i="2"/>
  <c r="A2" i="2"/>
  <c r="C1" i="2"/>
  <c r="E1" i="2" s="1"/>
  <c r="B1" i="2"/>
  <c r="A1" i="2"/>
  <c r="J208" i="1" l="1"/>
  <c r="H208" i="1"/>
  <c r="G208" i="1"/>
  <c r="F208" i="1"/>
  <c r="E208" i="1"/>
  <c r="K113" i="1" l="1"/>
  <c r="K117" i="1"/>
  <c r="K116" i="1"/>
  <c r="K19" i="1"/>
  <c r="K56" i="1"/>
  <c r="K20" i="1"/>
  <c r="K203" i="1"/>
  <c r="K15" i="1"/>
  <c r="K125" i="1"/>
  <c r="K141" i="1"/>
  <c r="K140" i="1"/>
  <c r="K153" i="1"/>
  <c r="K121" i="1" l="1"/>
  <c r="K77" i="1"/>
  <c r="K66" i="1"/>
  <c r="K65" i="1"/>
  <c r="K111" i="1"/>
  <c r="K103" i="1"/>
  <c r="K201" i="1"/>
  <c r="K60" i="1" l="1"/>
  <c r="K120" i="1"/>
  <c r="K49" i="1"/>
  <c r="K84" i="1"/>
  <c r="K143" i="1"/>
  <c r="K44" i="1"/>
  <c r="K25" i="1"/>
  <c r="K154" i="1"/>
  <c r="K167" i="1"/>
  <c r="K129" i="1"/>
  <c r="K64" i="1" l="1"/>
  <c r="K41" i="1"/>
  <c r="K124" i="1"/>
  <c r="K170" i="1"/>
  <c r="K87" i="1"/>
  <c r="K207" i="1"/>
  <c r="K78" i="1" l="1"/>
  <c r="K193" i="1" l="1"/>
  <c r="K192" i="1"/>
  <c r="K180" i="1"/>
  <c r="K196" i="1"/>
  <c r="K138" i="1"/>
  <c r="K93" i="1"/>
  <c r="K92" i="1" l="1"/>
  <c r="K132" i="1"/>
  <c r="K136" i="1"/>
  <c r="K35" i="1"/>
  <c r="K107" i="1"/>
  <c r="K156" i="1"/>
  <c r="K119" i="1"/>
  <c r="K161" i="1" l="1"/>
  <c r="K38" i="1"/>
  <c r="K31" i="1"/>
  <c r="K133" i="1"/>
  <c r="K142" i="1"/>
  <c r="K76" i="1"/>
  <c r="K59" i="1"/>
  <c r="K128" i="1"/>
  <c r="K110" i="1"/>
  <c r="K144" i="1"/>
  <c r="K85" i="1"/>
  <c r="K23" i="1"/>
  <c r="K83" i="1"/>
  <c r="K139" i="1"/>
  <c r="K63" i="1" l="1"/>
  <c r="K123" i="1"/>
  <c r="K72" i="1"/>
  <c r="K71" i="1"/>
  <c r="K42" i="1"/>
  <c r="K204" i="1"/>
  <c r="K22" i="1"/>
  <c r="K50" i="1"/>
  <c r="K195" i="1"/>
  <c r="K194" i="1"/>
  <c r="K200" i="1" l="1"/>
  <c r="K166" i="1"/>
  <c r="K177" i="1"/>
  <c r="K137" i="1"/>
  <c r="K102" i="1"/>
  <c r="K197" i="1"/>
  <c r="K62" i="1"/>
  <c r="K163" i="1"/>
  <c r="K162" i="1"/>
  <c r="K47" i="1"/>
  <c r="K14" i="1"/>
  <c r="K26" i="1"/>
  <c r="K122" i="1"/>
  <c r="K157" i="1"/>
  <c r="K86" i="1"/>
  <c r="K206" i="1"/>
  <c r="K57" i="1"/>
  <c r="K186" i="1"/>
  <c r="K185" i="1"/>
  <c r="K106" i="1"/>
  <c r="K160" i="1" l="1"/>
  <c r="K98" i="1"/>
  <c r="K68" i="1"/>
  <c r="K89" i="1"/>
  <c r="K135" i="1"/>
  <c r="K205" i="1"/>
  <c r="K79" i="1"/>
  <c r="K181" i="1"/>
  <c r="K13" i="1"/>
  <c r="K61" i="1"/>
  <c r="K101" i="1"/>
  <c r="K45" i="1"/>
  <c r="K151" i="1"/>
  <c r="K150" i="1"/>
  <c r="K70" i="1"/>
  <c r="K69" i="1"/>
  <c r="K199" i="1"/>
  <c r="K198" i="1"/>
  <c r="K108" i="1" l="1"/>
  <c r="K67" i="1"/>
  <c r="K115" i="1"/>
  <c r="K114" i="1"/>
  <c r="K18" i="1"/>
  <c r="K17" i="1"/>
  <c r="K16" i="1"/>
  <c r="K29" i="1"/>
  <c r="K28" i="1"/>
  <c r="K75" i="1"/>
  <c r="K176" i="1"/>
  <c r="K175" i="1"/>
  <c r="K105" i="1"/>
  <c r="K37" i="1"/>
  <c r="K43" i="1"/>
  <c r="K12" i="1"/>
  <c r="K8" i="1"/>
  <c r="K58" i="1"/>
  <c r="K73" i="1"/>
  <c r="K97" i="1"/>
  <c r="K164" i="1"/>
  <c r="K36" i="1"/>
  <c r="K158" i="1"/>
  <c r="K32" i="1"/>
  <c r="K112" i="1"/>
  <c r="K39" i="1"/>
  <c r="K48" i="1"/>
  <c r="K174" i="1"/>
  <c r="K173" i="1"/>
  <c r="K172" i="1"/>
  <c r="K82" i="1"/>
  <c r="K95" i="1"/>
  <c r="K27" i="1"/>
  <c r="K94" i="1"/>
  <c r="K184" i="1"/>
  <c r="K21" i="1"/>
  <c r="K80" i="1"/>
  <c r="K152" i="1"/>
  <c r="K183" i="1"/>
  <c r="K182" i="1"/>
  <c r="K11" i="1"/>
  <c r="K91" i="1"/>
  <c r="K90" i="1"/>
  <c r="K134" i="1"/>
  <c r="K9" i="1"/>
  <c r="K155" i="1"/>
  <c r="K126" i="1"/>
  <c r="K171" i="1"/>
  <c r="K130" i="1"/>
  <c r="K88" i="1" l="1"/>
  <c r="K169" i="1"/>
  <c r="K168" i="1"/>
  <c r="K51" i="1"/>
  <c r="K109" i="1"/>
  <c r="K147" i="1"/>
  <c r="K96" i="1"/>
  <c r="K33" i="1"/>
  <c r="K52" i="1"/>
  <c r="K159" i="1"/>
  <c r="K24" i="1" l="1"/>
  <c r="K191" i="1"/>
  <c r="K100" i="1"/>
  <c r="K40" i="1"/>
  <c r="K10" i="1"/>
  <c r="K30" i="1"/>
  <c r="K146" i="1" l="1"/>
  <c r="K145" i="1"/>
  <c r="K104" i="1"/>
  <c r="K46" i="1"/>
  <c r="K202" i="1"/>
  <c r="K190" i="1"/>
  <c r="K189" i="1"/>
  <c r="K188" i="1"/>
  <c r="K187" i="1"/>
  <c r="K127" i="1"/>
  <c r="K165" i="1"/>
  <c r="K118" i="1"/>
  <c r="K74" i="1"/>
  <c r="K131" i="1" l="1"/>
  <c r="K55" i="1"/>
  <c r="K54" i="1"/>
  <c r="K53" i="1"/>
  <c r="K99" i="1"/>
  <c r="K178" i="1"/>
  <c r="K179" i="1"/>
  <c r="K149" i="1"/>
  <c r="K148" i="1"/>
  <c r="K81" i="1"/>
  <c r="K34" i="1"/>
  <c r="K208" i="1" l="1"/>
  <c r="H209" i="1" s="1"/>
</calcChain>
</file>

<file path=xl/sharedStrings.xml><?xml version="1.0" encoding="utf-8"?>
<sst xmlns="http://schemas.openxmlformats.org/spreadsheetml/2006/main" count="623" uniqueCount="405">
  <si>
    <t xml:space="preserve">FARMACIA UNIVERSIDAD </t>
  </si>
  <si>
    <t>C A P P O - U C L A</t>
  </si>
  <si>
    <t>Carrera 21 entre Calles 12 y 13 Nro 12-13 telef. 0251-2524973/2527081</t>
  </si>
  <si>
    <t>Relación de Cobranza</t>
  </si>
  <si>
    <t>Fecha</t>
  </si>
  <si>
    <t>Cédula</t>
  </si>
  <si>
    <t>Cod. Socio</t>
  </si>
  <si>
    <t>Factura</t>
  </si>
  <si>
    <t>Monto</t>
  </si>
  <si>
    <t>Dcto. Cap.</t>
  </si>
  <si>
    <t>IVA</t>
  </si>
  <si>
    <t>Neto</t>
  </si>
  <si>
    <t>Elaborado Por:</t>
  </si>
  <si>
    <t xml:space="preserve">Recibido: (Firma y Sello) </t>
  </si>
  <si>
    <t>Yuris Reyes</t>
  </si>
  <si>
    <t>CAPPO-UCLA</t>
  </si>
  <si>
    <t xml:space="preserve"> CAPPO - UCLA</t>
  </si>
  <si>
    <t>Cliente</t>
  </si>
  <si>
    <t>Total Factura</t>
  </si>
  <si>
    <t>TOTAL A COBRAR BS…..</t>
  </si>
  <si>
    <t>Dcto. Clte.</t>
  </si>
  <si>
    <t>BRICEÑO  JORGE</t>
  </si>
  <si>
    <t>GONZALEZ ANDRES</t>
  </si>
  <si>
    <t>PEREZ ABELARDO</t>
  </si>
  <si>
    <t>SANCHEZ HERNAN</t>
  </si>
  <si>
    <t>SALCEDO  WILMER</t>
  </si>
  <si>
    <t>HERNANDEZ SANGRONI N</t>
  </si>
  <si>
    <t>DURAN  AURA</t>
  </si>
  <si>
    <t>GARCIA PEDRO</t>
  </si>
  <si>
    <t>MARTINEZ JOSE</t>
  </si>
  <si>
    <t>RODRIGUEZ ALVARADO Y</t>
  </si>
  <si>
    <t>MENDEZ  ESTEBAN</t>
  </si>
  <si>
    <t>SUAREZ JOSE</t>
  </si>
  <si>
    <t>VALECILLOS GIAN CARL</t>
  </si>
  <si>
    <t>CORRALES CLARISA</t>
  </si>
  <si>
    <t>LARA LINAREZ BIANEIS</t>
  </si>
  <si>
    <t>PARRA GLADYS</t>
  </si>
  <si>
    <t>BARRIOS RODRIGUEZ NI</t>
  </si>
  <si>
    <t>ALVARADO  PEDRO</t>
  </si>
  <si>
    <t>CASTILLO JOSE</t>
  </si>
  <si>
    <t>MENDOZA  JORGE</t>
  </si>
  <si>
    <t>ROJAS  VALDEMAR</t>
  </si>
  <si>
    <t>MEDINA HERMINIA</t>
  </si>
  <si>
    <t>PIÑA A. JOSE</t>
  </si>
  <si>
    <t>MUJICA  ARGENIS</t>
  </si>
  <si>
    <t>HERNANDEZ  CARLOS</t>
  </si>
  <si>
    <t>ALVARADO  RAMON</t>
  </si>
  <si>
    <t>SANCHEZ ZULEIMA</t>
  </si>
  <si>
    <t>PEREZ FREDIS</t>
  </si>
  <si>
    <t>GIMENEZ JOSE</t>
  </si>
  <si>
    <t>ANDRADE FREDDY</t>
  </si>
  <si>
    <t>SIVIRA RIVAS WINSTON</t>
  </si>
  <si>
    <t>HERNANDEZ JORGE</t>
  </si>
  <si>
    <t>BARRIO B. PATRICIA</t>
  </si>
  <si>
    <t>GONZALEZ JORGE</t>
  </si>
  <si>
    <t>ROJAS REINALDO</t>
  </si>
  <si>
    <t>DAVILA CHACON INGRID</t>
  </si>
  <si>
    <t>CASTILLO HONORIO</t>
  </si>
  <si>
    <t>LUCENA  JOSE</t>
  </si>
  <si>
    <t>BELLO CALANCHE KENDE</t>
  </si>
  <si>
    <t>QUINTERO  ROY</t>
  </si>
  <si>
    <t>CARMONA HORACIO</t>
  </si>
  <si>
    <t>HERNANDEZ RODRIGUEZ</t>
  </si>
  <si>
    <t>EREU  MARIANO</t>
  </si>
  <si>
    <t>ABARCA LUCENA ERICK</t>
  </si>
  <si>
    <t>COLMENAREZ CARLOS</t>
  </si>
  <si>
    <t>LEON  LUIS</t>
  </si>
  <si>
    <t>RUIZ RICO RAFAEL</t>
  </si>
  <si>
    <t>GARCIA PRIETO JOSE</t>
  </si>
  <si>
    <t>ALVAREZ NINOSKA</t>
  </si>
  <si>
    <t>MARCHAN  ERIKA</t>
  </si>
  <si>
    <t>FRANCO FREITEZ VICTO</t>
  </si>
  <si>
    <t>LISCANO  JAIME</t>
  </si>
  <si>
    <t>ANZOLA BLADIMIR</t>
  </si>
  <si>
    <t>RIVERO JOSE</t>
  </si>
  <si>
    <t>DURAN  ADRIAN</t>
  </si>
  <si>
    <t>BELLO LAYA JULIO</t>
  </si>
  <si>
    <t>PE#A MENDOZA JUAN</t>
  </si>
  <si>
    <t>LOPEZ ANA</t>
  </si>
  <si>
    <t>DUNO RIVERO EDGAR</t>
  </si>
  <si>
    <t>RODRIGUEZ LIGIA</t>
  </si>
  <si>
    <t>GUEVARA  JOSE</t>
  </si>
  <si>
    <t>URETA JORGE V.</t>
  </si>
  <si>
    <t>GARCES WILLIAN</t>
  </si>
  <si>
    <t>PEREZ AVILA LUIS</t>
  </si>
  <si>
    <t>CONDE  RIGOBERTO</t>
  </si>
  <si>
    <t>ISAZA BERTHA</t>
  </si>
  <si>
    <t>FERNANDEZ GOYO ADALB</t>
  </si>
  <si>
    <t>ALVAREZ HERNANDEZ PA</t>
  </si>
  <si>
    <t>SANCHEZ SEGOBIA ERIK</t>
  </si>
  <si>
    <t>GIMENEZ  ERNESTO</t>
  </si>
  <si>
    <t>VASQUEZ U. EDIXON</t>
  </si>
  <si>
    <t>MUJICA DE GONZALEZ Y</t>
  </si>
  <si>
    <t>GARCES  NELLY</t>
  </si>
  <si>
    <t>HERNANDEZ ROSMER</t>
  </si>
  <si>
    <t>RIVERO PALACIOS EBER</t>
  </si>
  <si>
    <t>LINAREZ ALVARADO MAR</t>
  </si>
  <si>
    <t>SOTO PEREZ DEXI</t>
  </si>
  <si>
    <t>DURAN RAFAEL</t>
  </si>
  <si>
    <t>GRAYEROL JHONNY</t>
  </si>
  <si>
    <t>581678</t>
  </si>
  <si>
    <t>QUERALES NORYS</t>
  </si>
  <si>
    <t>MARTINEZ SALCEDO TIB</t>
  </si>
  <si>
    <t>ARRIETA BERTIZ DEIVY</t>
  </si>
  <si>
    <t>CRESPO  PEDRO</t>
  </si>
  <si>
    <t>RODRIGUEZ AIDA</t>
  </si>
  <si>
    <t>FLORES JOSE</t>
  </si>
  <si>
    <t>TUA  DILCIA</t>
  </si>
  <si>
    <t>JIMENEZ EDGAR SOLANO</t>
  </si>
  <si>
    <t>ORELLANA FRANCELIZA</t>
  </si>
  <si>
    <t>SALAS FELIX</t>
  </si>
  <si>
    <t>SUAREZ PEROZO DIXON</t>
  </si>
  <si>
    <t>DUARTE GUERRERO GENR</t>
  </si>
  <si>
    <t>VASQUEZ FRANKLIN</t>
  </si>
  <si>
    <t>CHIRINOS CARLOS GREG</t>
  </si>
  <si>
    <t>MARTURET FREMIS</t>
  </si>
  <si>
    <t>UZCATEGUI  EDUARDO</t>
  </si>
  <si>
    <t>ORTIZ LOPEZ LUIS</t>
  </si>
  <si>
    <t>ANGULO  ANA</t>
  </si>
  <si>
    <t>GONZALEZ WILLIAM</t>
  </si>
  <si>
    <t>PAEZ RIVERO LUIS ALB</t>
  </si>
  <si>
    <t>MENDEZ MARLENE</t>
  </si>
  <si>
    <t>GARCIA RIVERO JORGE</t>
  </si>
  <si>
    <t>OSTA MARIA</t>
  </si>
  <si>
    <t>MONTILLA GIMENEZ RAM</t>
  </si>
  <si>
    <t>BELLO C. CRISTIAN R.</t>
  </si>
  <si>
    <t>RODRIGUEZ  C   EVELI</t>
  </si>
  <si>
    <t>PIÑA JOSE</t>
  </si>
  <si>
    <t>LINAREZ CHAVEZ YUCEX</t>
  </si>
  <si>
    <t>BULLONES V,ABEL PAST</t>
  </si>
  <si>
    <t>NOGUERA O. CARLOS .E</t>
  </si>
  <si>
    <t>MONTILLA  JOSE</t>
  </si>
  <si>
    <t>HERNANDEZ HECTOR</t>
  </si>
  <si>
    <t>OROPEZA  OMALDO</t>
  </si>
  <si>
    <t>TORO AQUILES</t>
  </si>
  <si>
    <t>MONTERO  AGDIO</t>
  </si>
  <si>
    <t>GIL  PABLO</t>
  </si>
  <si>
    <t>VIRGUEZ AGUILAR DIXO</t>
  </si>
  <si>
    <t>GUASIMUCARO HENRY</t>
  </si>
  <si>
    <t>RODRIGUEZ WILLIAM</t>
  </si>
  <si>
    <t>RODRIGUEZ FIGUEROA S</t>
  </si>
  <si>
    <t>PIÑA  DAISY</t>
  </si>
  <si>
    <t>ARRIECHE P. SILVIO</t>
  </si>
  <si>
    <t>COLMENAREZ YENIRETH</t>
  </si>
  <si>
    <t>PAEZ NEIDA NOHEMY</t>
  </si>
  <si>
    <t>ESCALONA DIONICIO</t>
  </si>
  <si>
    <t>GARRIDO  YAMILETH</t>
  </si>
  <si>
    <t>PEREZ MONTILLA EDUAR</t>
  </si>
  <si>
    <t>MAVARE PEREZ LISBETH</t>
  </si>
  <si>
    <t>AMARO PABLO</t>
  </si>
  <si>
    <t>14375299</t>
  </si>
  <si>
    <t>00193</t>
  </si>
  <si>
    <t>2186056</t>
  </si>
  <si>
    <t>00140</t>
  </si>
  <si>
    <t>10784623</t>
  </si>
  <si>
    <t>00114</t>
  </si>
  <si>
    <t>4067795</t>
  </si>
  <si>
    <t>00103</t>
  </si>
  <si>
    <t>18785684</t>
  </si>
  <si>
    <t>02613</t>
  </si>
  <si>
    <t>01613</t>
  </si>
  <si>
    <t>12702301</t>
  </si>
  <si>
    <t>00187</t>
  </si>
  <si>
    <t>13180551</t>
  </si>
  <si>
    <t>00183</t>
  </si>
  <si>
    <t>2910376</t>
  </si>
  <si>
    <t>00134</t>
  </si>
  <si>
    <t>11269196</t>
  </si>
  <si>
    <t>12848719</t>
  </si>
  <si>
    <t>00174</t>
  </si>
  <si>
    <t>00149</t>
  </si>
  <si>
    <t>12242270</t>
  </si>
  <si>
    <t>02612</t>
  </si>
  <si>
    <t>17104709</t>
  </si>
  <si>
    <t>00290</t>
  </si>
  <si>
    <t>7377030</t>
  </si>
  <si>
    <t>00202</t>
  </si>
  <si>
    <t>20046577</t>
  </si>
  <si>
    <t>00271</t>
  </si>
  <si>
    <t>7344290</t>
  </si>
  <si>
    <t>0222</t>
  </si>
  <si>
    <t>20046584</t>
  </si>
  <si>
    <t>00269</t>
  </si>
  <si>
    <t>9544827</t>
  </si>
  <si>
    <t>00221</t>
  </si>
  <si>
    <t>3878006</t>
  </si>
  <si>
    <t>00219</t>
  </si>
  <si>
    <t>9620720</t>
  </si>
  <si>
    <t>00158</t>
  </si>
  <si>
    <t>9540845</t>
  </si>
  <si>
    <t>00355</t>
  </si>
  <si>
    <t>10846532</t>
  </si>
  <si>
    <t>00361</t>
  </si>
  <si>
    <t>00121</t>
  </si>
  <si>
    <t>7446644</t>
  </si>
  <si>
    <t>00366</t>
  </si>
  <si>
    <t>7316059</t>
  </si>
  <si>
    <t>00364</t>
  </si>
  <si>
    <t>20348834</t>
  </si>
  <si>
    <t>00401</t>
  </si>
  <si>
    <t>7377579</t>
  </si>
  <si>
    <t>00358</t>
  </si>
  <si>
    <t>9609337</t>
  </si>
  <si>
    <t>00343</t>
  </si>
  <si>
    <t>4723168</t>
  </si>
  <si>
    <t>00335</t>
  </si>
  <si>
    <t>9211039</t>
  </si>
  <si>
    <t>00522</t>
  </si>
  <si>
    <t>10846474</t>
  </si>
  <si>
    <t>00519</t>
  </si>
  <si>
    <t>9544345</t>
  </si>
  <si>
    <t>00511</t>
  </si>
  <si>
    <t>4727740</t>
  </si>
  <si>
    <t>00500</t>
  </si>
  <si>
    <t>00950</t>
  </si>
  <si>
    <t>7337422</t>
  </si>
  <si>
    <t>00510</t>
  </si>
  <si>
    <t>11596252</t>
  </si>
  <si>
    <t>00515</t>
  </si>
  <si>
    <t>9557148</t>
  </si>
  <si>
    <t>00620</t>
  </si>
  <si>
    <t>9620701</t>
  </si>
  <si>
    <t>00624</t>
  </si>
  <si>
    <t>14176671</t>
  </si>
  <si>
    <t>00259</t>
  </si>
  <si>
    <t>11267811</t>
  </si>
  <si>
    <t>00713</t>
  </si>
  <si>
    <t>13775452</t>
  </si>
  <si>
    <t>00127</t>
  </si>
  <si>
    <t>4732618</t>
  </si>
  <si>
    <t>00800</t>
  </si>
  <si>
    <t>15729233</t>
  </si>
  <si>
    <t>00898</t>
  </si>
  <si>
    <t>11792127</t>
  </si>
  <si>
    <t>9555077</t>
  </si>
  <si>
    <t>00805</t>
  </si>
  <si>
    <t>00873</t>
  </si>
  <si>
    <t>10844947</t>
  </si>
  <si>
    <t>00872</t>
  </si>
  <si>
    <t>7437806</t>
  </si>
  <si>
    <t>00877</t>
  </si>
  <si>
    <t>3857667</t>
  </si>
  <si>
    <t>00814</t>
  </si>
  <si>
    <t>7436996</t>
  </si>
  <si>
    <t>00919</t>
  </si>
  <si>
    <t>12851330</t>
  </si>
  <si>
    <t>00882</t>
  </si>
  <si>
    <t>13032012</t>
  </si>
  <si>
    <t>00942</t>
  </si>
  <si>
    <t>9547148</t>
  </si>
  <si>
    <t>00850</t>
  </si>
  <si>
    <t>4378759</t>
  </si>
  <si>
    <t>00891</t>
  </si>
  <si>
    <t>10849907</t>
  </si>
  <si>
    <t>00938</t>
  </si>
  <si>
    <t>7426046</t>
  </si>
  <si>
    <t>00889</t>
  </si>
  <si>
    <t>1239070</t>
  </si>
  <si>
    <t>00848</t>
  </si>
  <si>
    <t>7415285</t>
  </si>
  <si>
    <t>00908</t>
  </si>
  <si>
    <t>00909</t>
  </si>
  <si>
    <t>13188137</t>
  </si>
  <si>
    <t>00943</t>
  </si>
  <si>
    <t>9614364</t>
  </si>
  <si>
    <t>20189202</t>
  </si>
  <si>
    <t>12021966</t>
  </si>
  <si>
    <t>00929</t>
  </si>
  <si>
    <t>11792506</t>
  </si>
  <si>
    <t>00948</t>
  </si>
  <si>
    <t>7447992</t>
  </si>
  <si>
    <t>02507</t>
  </si>
  <si>
    <t>4731494</t>
  </si>
  <si>
    <t>01104</t>
  </si>
  <si>
    <t>3875055</t>
  </si>
  <si>
    <t>01300</t>
  </si>
  <si>
    <t>7301470</t>
  </si>
  <si>
    <t>01302</t>
  </si>
  <si>
    <t>10772668</t>
  </si>
  <si>
    <t>01336</t>
  </si>
  <si>
    <t>14879704</t>
  </si>
  <si>
    <t>01354</t>
  </si>
  <si>
    <t>7338055</t>
  </si>
  <si>
    <t>01317</t>
  </si>
  <si>
    <t>7401853</t>
  </si>
  <si>
    <t>01337</t>
  </si>
  <si>
    <t>5765952</t>
  </si>
  <si>
    <t>01333</t>
  </si>
  <si>
    <t>11267932</t>
  </si>
  <si>
    <t>01483</t>
  </si>
  <si>
    <t>5248954</t>
  </si>
  <si>
    <t>01442</t>
  </si>
  <si>
    <t>7406353</t>
  </si>
  <si>
    <t>01400</t>
  </si>
  <si>
    <t>11598956</t>
  </si>
  <si>
    <t>01412</t>
  </si>
  <si>
    <t>13268457</t>
  </si>
  <si>
    <t>01530</t>
  </si>
  <si>
    <t>7393144</t>
  </si>
  <si>
    <t>01471</t>
  </si>
  <si>
    <t>5252606</t>
  </si>
  <si>
    <t>01460</t>
  </si>
  <si>
    <t>9617493</t>
  </si>
  <si>
    <t>01463</t>
  </si>
  <si>
    <t>5257774</t>
  </si>
  <si>
    <t>01465</t>
  </si>
  <si>
    <t>3317339</t>
  </si>
  <si>
    <t>01445</t>
  </si>
  <si>
    <t>9100619</t>
  </si>
  <si>
    <t>01422</t>
  </si>
  <si>
    <t>6634354</t>
  </si>
  <si>
    <t>01480</t>
  </si>
  <si>
    <t>5925143</t>
  </si>
  <si>
    <t>01489</t>
  </si>
  <si>
    <t>7417289</t>
  </si>
  <si>
    <t>01474</t>
  </si>
  <si>
    <t>10760806</t>
  </si>
  <si>
    <t>01506</t>
  </si>
  <si>
    <t>7388038</t>
  </si>
  <si>
    <t>01985</t>
  </si>
  <si>
    <t>3535838</t>
  </si>
  <si>
    <t>01688</t>
  </si>
  <si>
    <t>7917981</t>
  </si>
  <si>
    <t>3314884</t>
  </si>
  <si>
    <t>01600</t>
  </si>
  <si>
    <t>11262378</t>
  </si>
  <si>
    <t>01636</t>
  </si>
  <si>
    <t>7395742</t>
  </si>
  <si>
    <t>01727</t>
  </si>
  <si>
    <t>7425430</t>
  </si>
  <si>
    <t>01762</t>
  </si>
  <si>
    <t>4754833</t>
  </si>
  <si>
    <t>01755</t>
  </si>
  <si>
    <t>6573855</t>
  </si>
  <si>
    <t>01782</t>
  </si>
  <si>
    <t>6575243</t>
  </si>
  <si>
    <t>01753</t>
  </si>
  <si>
    <t>13566631</t>
  </si>
  <si>
    <t>01632</t>
  </si>
  <si>
    <t>12698965</t>
  </si>
  <si>
    <t>01777</t>
  </si>
  <si>
    <t>16641426</t>
  </si>
  <si>
    <t>01822</t>
  </si>
  <si>
    <t>3533360</t>
  </si>
  <si>
    <t>01718</t>
  </si>
  <si>
    <t>01818</t>
  </si>
  <si>
    <t>9557875</t>
  </si>
  <si>
    <t>7429274</t>
  </si>
  <si>
    <t>01807</t>
  </si>
  <si>
    <t>7409730</t>
  </si>
  <si>
    <t>01791</t>
  </si>
  <si>
    <t>14405401</t>
  </si>
  <si>
    <t>01992</t>
  </si>
  <si>
    <t>7436077</t>
  </si>
  <si>
    <t>01954</t>
  </si>
  <si>
    <t>9613403</t>
  </si>
  <si>
    <t>00403</t>
  </si>
  <si>
    <t>14335445</t>
  </si>
  <si>
    <t>00405</t>
  </si>
  <si>
    <t>9543174</t>
  </si>
  <si>
    <t>01928</t>
  </si>
  <si>
    <t>7425063</t>
  </si>
  <si>
    <t>01987</t>
  </si>
  <si>
    <t>13785997</t>
  </si>
  <si>
    <t>01812</t>
  </si>
  <si>
    <t>11694758</t>
  </si>
  <si>
    <t>01858</t>
  </si>
  <si>
    <t>11881224</t>
  </si>
  <si>
    <t>01994</t>
  </si>
  <si>
    <t>23156662</t>
  </si>
  <si>
    <t>7373089</t>
  </si>
  <si>
    <t>02042</t>
  </si>
  <si>
    <t>12935606</t>
  </si>
  <si>
    <t>02062</t>
  </si>
  <si>
    <t>7360346</t>
  </si>
  <si>
    <t>02044</t>
  </si>
  <si>
    <t>14513487</t>
  </si>
  <si>
    <t>00297</t>
  </si>
  <si>
    <t>13265462</t>
  </si>
  <si>
    <t>02098</t>
  </si>
  <si>
    <t>12024178</t>
  </si>
  <si>
    <t>02061</t>
  </si>
  <si>
    <t>15597541</t>
  </si>
  <si>
    <t>02096</t>
  </si>
  <si>
    <t>7331943</t>
  </si>
  <si>
    <t>02030</t>
  </si>
  <si>
    <t>17727473</t>
  </si>
  <si>
    <t>00267</t>
  </si>
  <si>
    <t>11633896</t>
  </si>
  <si>
    <t>02136</t>
  </si>
  <si>
    <t>7311255</t>
  </si>
  <si>
    <t>02119</t>
  </si>
  <si>
    <t>15668851</t>
  </si>
  <si>
    <t>02209</t>
  </si>
  <si>
    <t>9607091</t>
  </si>
  <si>
    <t>02204</t>
  </si>
  <si>
    <t>15729536</t>
  </si>
  <si>
    <t>02343</t>
  </si>
  <si>
    <t>11790818</t>
  </si>
  <si>
    <t>02337</t>
  </si>
  <si>
    <t>16137706</t>
  </si>
  <si>
    <t>02378</t>
  </si>
  <si>
    <t>10774121</t>
  </si>
  <si>
    <t>02346</t>
  </si>
  <si>
    <t>Desde  04/03/16 Hasta:  31/03/16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</si>
</sst>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;[Red]#,##0.00"/>
    <numFmt numFmtId="165" formatCode="#,##0;[Red]#,##0"/>
    <numFmt numFmtId="166" formatCode="_([$€-2]\ * #,##0.00_);_([$€-2]\ * \(#,##0.00\);_([$€-2]\ * &quot;-&quot;??_)"/>
    <numFmt numFmtId="167" formatCode="dd/mm/yy;@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9"/>
      <name val="Arial Narrow"/>
      <family val="2"/>
    </font>
    <font>
      <b/>
      <i/>
      <sz val="9"/>
      <name val="Arial"/>
      <family val="2"/>
    </font>
    <font>
      <sz val="10"/>
      <color indexed="18"/>
      <name val="Arial Black"/>
      <family val="2"/>
    </font>
    <font>
      <sz val="9"/>
      <color indexed="18"/>
      <name val="Arial Narrow"/>
      <family val="2"/>
    </font>
    <font>
      <b/>
      <sz val="9"/>
      <color indexed="18"/>
      <name val="Copperplate Gothic Light"/>
      <family val="2"/>
    </font>
    <font>
      <sz val="9"/>
      <color theme="1"/>
      <name val="Agency FB"/>
      <family val="2"/>
    </font>
    <font>
      <sz val="9"/>
      <name val="Agency FB"/>
      <family val="2"/>
    </font>
    <font>
      <b/>
      <sz val="8"/>
      <name val="Arial Narrow"/>
      <family val="2"/>
    </font>
    <font>
      <b/>
      <sz val="9"/>
      <color theme="1"/>
      <name val="Arial Narrow"/>
      <family val="2"/>
    </font>
    <font>
      <b/>
      <sz val="9"/>
      <color theme="1"/>
      <name val="Agency FB"/>
      <family val="2"/>
    </font>
    <font>
      <b/>
      <sz val="3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6" fontId="2" fillId="0" borderId="0" applyFont="0" applyFill="0" applyBorder="0" applyAlignment="0" applyProtection="0"/>
  </cellStyleXfs>
  <cellXfs count="73">
    <xf numFmtId="0" fontId="0" fillId="0" borderId="0" xfId="0"/>
    <xf numFmtId="0" fontId="1" fillId="0" borderId="0" xfId="1"/>
    <xf numFmtId="0" fontId="3" fillId="0" borderId="0" xfId="1" applyFont="1" applyAlignment="1"/>
    <xf numFmtId="164" fontId="3" fillId="0" borderId="0" xfId="1" applyNumberFormat="1" applyFont="1" applyAlignment="1">
      <alignment horizontal="right"/>
    </xf>
    <xf numFmtId="165" fontId="6" fillId="0" borderId="7" xfId="1" applyNumberFormat="1" applyFont="1" applyBorder="1" applyAlignment="1">
      <alignment horizontal="center"/>
    </xf>
    <xf numFmtId="0" fontId="6" fillId="0" borderId="7" xfId="1" applyFont="1" applyBorder="1" applyAlignment="1">
      <alignment horizontal="center"/>
    </xf>
    <xf numFmtId="164" fontId="6" fillId="0" borderId="7" xfId="1" applyNumberFormat="1" applyFont="1" applyBorder="1" applyAlignment="1">
      <alignment horizontal="center"/>
    </xf>
    <xf numFmtId="164" fontId="11" fillId="0" borderId="7" xfId="0" applyNumberFormat="1" applyFont="1" applyBorder="1"/>
    <xf numFmtId="49" fontId="12" fillId="0" borderId="7" xfId="1" applyNumberFormat="1" applyFont="1" applyBorder="1" applyAlignment="1">
      <alignment horizontal="center"/>
    </xf>
    <xf numFmtId="0" fontId="11" fillId="0" borderId="7" xfId="0" applyFont="1" applyBorder="1"/>
    <xf numFmtId="0" fontId="8" fillId="0" borderId="0" xfId="1" applyFont="1" applyBorder="1" applyAlignment="1"/>
    <xf numFmtId="0" fontId="10" fillId="0" borderId="0" xfId="1" applyFont="1" applyAlignment="1"/>
    <xf numFmtId="0" fontId="9" fillId="0" borderId="0" xfId="1" applyFont="1" applyAlignment="1"/>
    <xf numFmtId="49" fontId="11" fillId="0" borderId="7" xfId="0" applyNumberFormat="1" applyFont="1" applyBorder="1" applyAlignment="1">
      <alignment horizontal="center"/>
    </xf>
    <xf numFmtId="0" fontId="7" fillId="0" borderId="0" xfId="1" applyFont="1" applyAlignment="1"/>
    <xf numFmtId="49" fontId="7" fillId="0" borderId="0" xfId="1" applyNumberFormat="1" applyFont="1" applyAlignment="1"/>
    <xf numFmtId="164" fontId="13" fillId="0" borderId="7" xfId="1" applyNumberFormat="1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164" fontId="6" fillId="0" borderId="1" xfId="1" applyNumberFormat="1" applyFont="1" applyFill="1" applyBorder="1" applyAlignment="1"/>
    <xf numFmtId="167" fontId="12" fillId="0" borderId="7" xfId="1" applyNumberFormat="1" applyFont="1" applyBorder="1" applyAlignment="1">
      <alignment horizontal="center"/>
    </xf>
    <xf numFmtId="164" fontId="12" fillId="0" borderId="7" xfId="1" applyNumberFormat="1" applyFont="1" applyBorder="1" applyAlignment="1">
      <alignment horizontal="center"/>
    </xf>
    <xf numFmtId="49" fontId="6" fillId="0" borderId="7" xfId="1" applyNumberFormat="1" applyFont="1" applyBorder="1" applyAlignment="1">
      <alignment horizontal="center"/>
    </xf>
    <xf numFmtId="49" fontId="1" fillId="0" borderId="0" xfId="1" applyNumberFormat="1"/>
    <xf numFmtId="49" fontId="0" fillId="0" borderId="0" xfId="0" applyNumberFormat="1"/>
    <xf numFmtId="164" fontId="15" fillId="0" borderId="0" xfId="0" applyNumberFormat="1" applyFont="1"/>
    <xf numFmtId="164" fontId="11" fillId="0" borderId="7" xfId="0" applyNumberFormat="1" applyFont="1" applyBorder="1" applyAlignment="1">
      <alignment horizontal="right"/>
    </xf>
    <xf numFmtId="164" fontId="12" fillId="0" borderId="2" xfId="1" applyNumberFormat="1" applyFont="1" applyBorder="1" applyAlignment="1">
      <alignment horizontal="center"/>
    </xf>
    <xf numFmtId="0" fontId="11" fillId="0" borderId="11" xfId="0" applyFont="1" applyBorder="1"/>
    <xf numFmtId="164" fontId="11" fillId="0" borderId="11" xfId="0" applyNumberFormat="1" applyFont="1" applyBorder="1"/>
    <xf numFmtId="49" fontId="11" fillId="0" borderId="11" xfId="0" applyNumberFormat="1" applyFont="1" applyBorder="1" applyAlignment="1">
      <alignment horizontal="center"/>
    </xf>
    <xf numFmtId="0" fontId="11" fillId="0" borderId="12" xfId="0" applyFont="1" applyBorder="1"/>
    <xf numFmtId="164" fontId="11" fillId="0" borderId="12" xfId="0" applyNumberFormat="1" applyFont="1" applyBorder="1"/>
    <xf numFmtId="49" fontId="11" fillId="0" borderId="12" xfId="0" applyNumberFormat="1" applyFont="1" applyBorder="1" applyAlignment="1">
      <alignment horizontal="center"/>
    </xf>
    <xf numFmtId="167" fontId="12" fillId="2" borderId="7" xfId="1" applyNumberFormat="1" applyFont="1" applyFill="1" applyBorder="1" applyAlignment="1">
      <alignment horizontal="center"/>
    </xf>
    <xf numFmtId="49" fontId="12" fillId="2" borderId="7" xfId="1" applyNumberFormat="1" applyFont="1" applyFill="1" applyBorder="1" applyAlignment="1">
      <alignment horizontal="center"/>
    </xf>
    <xf numFmtId="0" fontId="11" fillId="2" borderId="7" xfId="0" applyFont="1" applyFill="1" applyBorder="1"/>
    <xf numFmtId="164" fontId="11" fillId="2" borderId="7" xfId="0" applyNumberFormat="1" applyFont="1" applyFill="1" applyBorder="1"/>
    <xf numFmtId="49" fontId="11" fillId="2" borderId="7" xfId="0" applyNumberFormat="1" applyFont="1" applyFill="1" applyBorder="1" applyAlignment="1">
      <alignment horizontal="center"/>
    </xf>
    <xf numFmtId="164" fontId="12" fillId="2" borderId="7" xfId="1" applyNumberFormat="1" applyFont="1" applyFill="1" applyBorder="1" applyAlignment="1">
      <alignment horizontal="center"/>
    </xf>
    <xf numFmtId="0" fontId="1" fillId="2" borderId="0" xfId="1" applyFill="1"/>
    <xf numFmtId="0" fontId="0" fillId="2" borderId="0" xfId="0" applyFill="1"/>
    <xf numFmtId="0" fontId="7" fillId="0" borderId="8" xfId="1" applyFont="1" applyBorder="1" applyAlignment="1">
      <alignment horizontal="center"/>
    </xf>
    <xf numFmtId="0" fontId="8" fillId="0" borderId="0" xfId="1" applyFont="1" applyBorder="1" applyAlignment="1">
      <alignment horizontal="center"/>
    </xf>
    <xf numFmtId="0" fontId="10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49" fontId="7" fillId="0" borderId="0" xfId="1" applyNumberFormat="1" applyFont="1" applyAlignment="1">
      <alignment horizontal="center"/>
    </xf>
    <xf numFmtId="164" fontId="16" fillId="0" borderId="0" xfId="1" applyNumberFormat="1" applyFont="1" applyAlignment="1">
      <alignment horizontal="center" vertical="center"/>
    </xf>
    <xf numFmtId="0" fontId="5" fillId="0" borderId="1" xfId="1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165" fontId="5" fillId="0" borderId="1" xfId="1" applyNumberFormat="1" applyFont="1" applyBorder="1" applyAlignment="1">
      <alignment horizontal="center"/>
    </xf>
    <xf numFmtId="165" fontId="5" fillId="0" borderId="9" xfId="1" applyNumberFormat="1" applyFont="1" applyBorder="1" applyAlignment="1">
      <alignment horizontal="center"/>
    </xf>
    <xf numFmtId="165" fontId="5" fillId="0" borderId="2" xfId="1" applyNumberFormat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165" fontId="6" fillId="0" borderId="1" xfId="1" applyNumberFormat="1" applyFont="1" applyBorder="1" applyAlignment="1">
      <alignment horizontal="center"/>
    </xf>
    <xf numFmtId="165" fontId="6" fillId="0" borderId="9" xfId="1" applyNumberFormat="1" applyFont="1" applyBorder="1" applyAlignment="1">
      <alignment horizontal="center"/>
    </xf>
    <xf numFmtId="165" fontId="6" fillId="0" borderId="2" xfId="1" applyNumberFormat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3" fillId="0" borderId="10" xfId="1" applyFont="1" applyBorder="1" applyAlignment="1">
      <alignment horizontal="center"/>
    </xf>
    <xf numFmtId="0" fontId="3" fillId="0" borderId="6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165" fontId="3" fillId="0" borderId="5" xfId="1" applyNumberFormat="1" applyFont="1" applyBorder="1" applyAlignment="1">
      <alignment horizontal="center"/>
    </xf>
    <xf numFmtId="165" fontId="3" fillId="0" borderId="10" xfId="1" applyNumberFormat="1" applyFont="1" applyBorder="1" applyAlignment="1">
      <alignment horizontal="center"/>
    </xf>
    <xf numFmtId="165" fontId="3" fillId="0" borderId="6" xfId="1" applyNumberFormat="1" applyFont="1" applyBorder="1" applyAlignment="1">
      <alignment horizontal="center"/>
    </xf>
    <xf numFmtId="165" fontId="3" fillId="0" borderId="3" xfId="1" applyNumberFormat="1" applyFont="1" applyBorder="1" applyAlignment="1">
      <alignment horizontal="center"/>
    </xf>
    <xf numFmtId="165" fontId="3" fillId="0" borderId="8" xfId="1" applyNumberFormat="1" applyFont="1" applyBorder="1" applyAlignment="1">
      <alignment horizontal="center"/>
    </xf>
    <xf numFmtId="165" fontId="3" fillId="0" borderId="4" xfId="1" applyNumberFormat="1" applyFont="1" applyBorder="1" applyAlignment="1">
      <alignment horizontal="center"/>
    </xf>
    <xf numFmtId="164" fontId="6" fillId="0" borderId="0" xfId="1" applyNumberFormat="1" applyFont="1" applyBorder="1" applyAlignment="1">
      <alignment horizontal="center" vertical="center"/>
    </xf>
  </cellXfs>
  <cellStyles count="3">
    <cellStyle name="Euro" xfId="2"/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142874</xdr:colOff>
      <xdr:row>0</xdr:row>
      <xdr:rowOff>0</xdr:rowOff>
    </xdr:from>
    <xdr:to>
      <xdr:col>3</xdr:col>
      <xdr:colOff>114299</xdr:colOff>
      <xdr:row>5</xdr:row>
      <xdr:rowOff>95250</xdr:rowOff>
    </xdr:to>
    <xdr:pic>
      <xdr:nvPicPr>
        <xdr:cNvPr id="6" name="Picture 4123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4" y="9725025"/>
          <a:ext cx="1362075" cy="1057275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4.9989318521683403E-2"/>
  </sheetPr>
  <dimension ref="A1:L214"/>
  <sheetViews>
    <sheetView workbookViewId="0">
      <selection activeCell="D166" sqref="D166"/>
    </sheetView>
  </sheetViews>
  <sheetFormatPr baseColWidth="10" defaultRowHeight="15" x14ac:dyDescent="0.25"/>
  <cols>
    <col min="1" max="1" width="6.7109375" customWidth="1"/>
    <col min="2" max="2" width="7.140625" style="23" customWidth="1"/>
    <col min="3" max="3" width="7" customWidth="1"/>
    <col min="4" max="4" width="20.7109375" customWidth="1"/>
    <col min="5" max="5" width="8.42578125" customWidth="1"/>
    <col min="6" max="7" width="7.28515625" customWidth="1"/>
    <col min="8" max="8" width="9.42578125" customWidth="1"/>
    <col min="9" max="9" width="6.140625" customWidth="1"/>
    <col min="10" max="10" width="5.5703125" customWidth="1"/>
    <col min="11" max="11" width="10.5703125" customWidth="1"/>
  </cols>
  <sheetData>
    <row r="1" spans="1:12" ht="15.75" x14ac:dyDescent="0.3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10"/>
    </row>
    <row r="2" spans="1:12" x14ac:dyDescent="0.25">
      <c r="A2" s="43" t="s">
        <v>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11"/>
    </row>
    <row r="3" spans="1:12" x14ac:dyDescent="0.25">
      <c r="A3" s="44" t="s">
        <v>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12"/>
    </row>
    <row r="4" spans="1:12" x14ac:dyDescent="0.25">
      <c r="A4" s="45" t="s">
        <v>3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14"/>
    </row>
    <row r="5" spans="1:12" x14ac:dyDescent="0.25">
      <c r="A5" s="46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15"/>
    </row>
    <row r="6" spans="1:12" x14ac:dyDescent="0.25">
      <c r="A6" s="41" t="s">
        <v>404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14"/>
    </row>
    <row r="7" spans="1:12" x14ac:dyDescent="0.25">
      <c r="A7" s="5" t="s">
        <v>4</v>
      </c>
      <c r="B7" s="21" t="s">
        <v>5</v>
      </c>
      <c r="C7" s="4" t="s">
        <v>6</v>
      </c>
      <c r="D7" s="17" t="s">
        <v>17</v>
      </c>
      <c r="E7" s="17" t="s">
        <v>8</v>
      </c>
      <c r="F7" s="6" t="s">
        <v>20</v>
      </c>
      <c r="G7" s="6" t="s">
        <v>10</v>
      </c>
      <c r="H7" s="18" t="s">
        <v>18</v>
      </c>
      <c r="I7" s="17" t="s">
        <v>7</v>
      </c>
      <c r="J7" s="16" t="s">
        <v>9</v>
      </c>
      <c r="K7" s="6" t="s">
        <v>11</v>
      </c>
      <c r="L7" s="1"/>
    </row>
    <row r="8" spans="1:12" x14ac:dyDescent="0.25">
      <c r="A8" s="19">
        <v>42430</v>
      </c>
      <c r="B8" s="8" t="s">
        <v>150</v>
      </c>
      <c r="C8" s="8" t="s">
        <v>151</v>
      </c>
      <c r="D8" s="9" t="s">
        <v>64</v>
      </c>
      <c r="E8" s="7">
        <v>1211.03</v>
      </c>
      <c r="F8" s="7">
        <v>0</v>
      </c>
      <c r="G8" s="7">
        <v>0</v>
      </c>
      <c r="H8" s="7">
        <v>1211.03</v>
      </c>
      <c r="I8" s="13">
        <v>581181</v>
      </c>
      <c r="J8" s="20">
        <v>0</v>
      </c>
      <c r="K8" s="20">
        <f t="shared" ref="K8:K39" si="0">H8-J8</f>
        <v>1211.03</v>
      </c>
      <c r="L8" s="1"/>
    </row>
    <row r="9" spans="1:12" x14ac:dyDescent="0.25">
      <c r="A9" s="19">
        <v>42430</v>
      </c>
      <c r="B9" s="8" t="s">
        <v>152</v>
      </c>
      <c r="C9" s="8" t="s">
        <v>153</v>
      </c>
      <c r="D9" s="9" t="s">
        <v>38</v>
      </c>
      <c r="E9" s="7">
        <v>207.8</v>
      </c>
      <c r="F9" s="7">
        <v>0</v>
      </c>
      <c r="G9" s="7">
        <v>0</v>
      </c>
      <c r="H9" s="7">
        <v>207.8</v>
      </c>
      <c r="I9" s="13">
        <v>581016</v>
      </c>
      <c r="J9" s="20">
        <v>0</v>
      </c>
      <c r="K9" s="20">
        <f t="shared" si="0"/>
        <v>207.8</v>
      </c>
      <c r="L9" s="1"/>
    </row>
    <row r="10" spans="1:12" x14ac:dyDescent="0.25">
      <c r="A10" s="19">
        <v>42430</v>
      </c>
      <c r="B10" s="8" t="s">
        <v>152</v>
      </c>
      <c r="C10" s="8" t="s">
        <v>153</v>
      </c>
      <c r="D10" s="9" t="s">
        <v>38</v>
      </c>
      <c r="E10" s="7">
        <v>1633.83</v>
      </c>
      <c r="F10" s="7">
        <v>0</v>
      </c>
      <c r="G10" s="7">
        <v>0</v>
      </c>
      <c r="H10" s="7">
        <v>1633.83</v>
      </c>
      <c r="I10" s="13">
        <v>581375</v>
      </c>
      <c r="J10" s="20">
        <v>0</v>
      </c>
      <c r="K10" s="20">
        <f t="shared" si="0"/>
        <v>1633.83</v>
      </c>
      <c r="L10" s="1"/>
    </row>
    <row r="11" spans="1:12" x14ac:dyDescent="0.25">
      <c r="A11" s="19">
        <v>42430</v>
      </c>
      <c r="B11" s="8" t="s">
        <v>154</v>
      </c>
      <c r="C11" s="8" t="s">
        <v>155</v>
      </c>
      <c r="D11" s="9" t="s">
        <v>46</v>
      </c>
      <c r="E11" s="7">
        <v>2382.7399999999998</v>
      </c>
      <c r="F11" s="7">
        <v>0</v>
      </c>
      <c r="G11" s="7">
        <v>0</v>
      </c>
      <c r="H11" s="7">
        <v>2382.7399999999998</v>
      </c>
      <c r="I11" s="13">
        <v>581024</v>
      </c>
      <c r="J11" s="20">
        <v>0</v>
      </c>
      <c r="K11" s="20">
        <f t="shared" si="0"/>
        <v>2382.7399999999998</v>
      </c>
      <c r="L11" s="1"/>
    </row>
    <row r="12" spans="1:12" x14ac:dyDescent="0.25">
      <c r="A12" s="19">
        <v>42430</v>
      </c>
      <c r="B12" s="8" t="s">
        <v>154</v>
      </c>
      <c r="C12" s="8" t="s">
        <v>155</v>
      </c>
      <c r="D12" s="9" t="s">
        <v>46</v>
      </c>
      <c r="E12" s="7">
        <v>1091.8499999999999</v>
      </c>
      <c r="F12" s="7">
        <v>0</v>
      </c>
      <c r="G12" s="7">
        <v>0</v>
      </c>
      <c r="H12" s="7">
        <v>1091.8499999999999</v>
      </c>
      <c r="I12" s="13">
        <v>581188</v>
      </c>
      <c r="J12" s="20">
        <v>0</v>
      </c>
      <c r="K12" s="20">
        <f t="shared" si="0"/>
        <v>1091.8499999999999</v>
      </c>
      <c r="L12" s="1"/>
    </row>
    <row r="13" spans="1:12" x14ac:dyDescent="0.25">
      <c r="A13" s="19">
        <v>42430</v>
      </c>
      <c r="B13" s="8" t="s">
        <v>156</v>
      </c>
      <c r="C13" s="8" t="s">
        <v>157</v>
      </c>
      <c r="D13" s="9" t="s">
        <v>88</v>
      </c>
      <c r="E13" s="7">
        <v>375.24</v>
      </c>
      <c r="F13" s="7">
        <v>0</v>
      </c>
      <c r="G13" s="7">
        <v>0</v>
      </c>
      <c r="H13" s="7">
        <v>375.24</v>
      </c>
      <c r="I13" s="13">
        <v>581515</v>
      </c>
      <c r="J13" s="20">
        <v>0</v>
      </c>
      <c r="K13" s="20">
        <f t="shared" si="0"/>
        <v>375.24</v>
      </c>
      <c r="L13" s="1"/>
    </row>
    <row r="14" spans="1:12" x14ac:dyDescent="0.25">
      <c r="A14" s="19">
        <v>42430</v>
      </c>
      <c r="B14" s="8" t="s">
        <v>156</v>
      </c>
      <c r="C14" s="8" t="s">
        <v>157</v>
      </c>
      <c r="D14" s="9" t="s">
        <v>88</v>
      </c>
      <c r="E14" s="7">
        <v>637.64</v>
      </c>
      <c r="F14" s="7">
        <v>0</v>
      </c>
      <c r="G14" s="7">
        <v>0</v>
      </c>
      <c r="H14" s="7">
        <v>637.64</v>
      </c>
      <c r="I14" s="13">
        <v>581731</v>
      </c>
      <c r="J14" s="20">
        <v>0</v>
      </c>
      <c r="K14" s="20">
        <f t="shared" si="0"/>
        <v>637.64</v>
      </c>
      <c r="L14" s="1"/>
    </row>
    <row r="15" spans="1:12" x14ac:dyDescent="0.25">
      <c r="A15" s="19">
        <v>42430</v>
      </c>
      <c r="B15" s="8" t="s">
        <v>156</v>
      </c>
      <c r="C15" s="8" t="s">
        <v>157</v>
      </c>
      <c r="D15" s="9" t="s">
        <v>88</v>
      </c>
      <c r="E15" s="7">
        <v>2350.11</v>
      </c>
      <c r="F15" s="7">
        <v>0</v>
      </c>
      <c r="G15" s="7">
        <v>0</v>
      </c>
      <c r="H15" s="7">
        <v>2350.11</v>
      </c>
      <c r="I15" s="13">
        <v>582636</v>
      </c>
      <c r="J15" s="20">
        <v>0</v>
      </c>
      <c r="K15" s="20">
        <f t="shared" si="0"/>
        <v>2350.11</v>
      </c>
      <c r="L15" s="1"/>
    </row>
    <row r="16" spans="1:12" x14ac:dyDescent="0.25">
      <c r="A16" s="19">
        <v>42430</v>
      </c>
      <c r="B16" s="8" t="s">
        <v>158</v>
      </c>
      <c r="C16" s="8" t="s">
        <v>159</v>
      </c>
      <c r="D16" s="9" t="s">
        <v>69</v>
      </c>
      <c r="E16" s="7">
        <v>2290.3000000000002</v>
      </c>
      <c r="F16" s="7">
        <v>0</v>
      </c>
      <c r="G16" s="7">
        <v>110.01</v>
      </c>
      <c r="H16" s="7">
        <v>2400.31</v>
      </c>
      <c r="I16" s="13">
        <v>581232</v>
      </c>
      <c r="J16" s="20">
        <v>0</v>
      </c>
      <c r="K16" s="20">
        <f t="shared" si="0"/>
        <v>2400.31</v>
      </c>
      <c r="L16" s="1"/>
    </row>
    <row r="17" spans="1:12" x14ac:dyDescent="0.25">
      <c r="A17" s="19">
        <v>42430</v>
      </c>
      <c r="B17" s="8" t="s">
        <v>158</v>
      </c>
      <c r="C17" s="8" t="s">
        <v>159</v>
      </c>
      <c r="D17" s="9" t="s">
        <v>69</v>
      </c>
      <c r="E17" s="7">
        <v>420</v>
      </c>
      <c r="F17" s="7">
        <v>0</v>
      </c>
      <c r="G17" s="7">
        <v>0</v>
      </c>
      <c r="H17" s="7">
        <v>420</v>
      </c>
      <c r="I17" s="13">
        <v>581233</v>
      </c>
      <c r="J17" s="20">
        <v>0</v>
      </c>
      <c r="K17" s="20">
        <f t="shared" si="0"/>
        <v>420</v>
      </c>
      <c r="L17" s="1"/>
    </row>
    <row r="18" spans="1:12" x14ac:dyDescent="0.25">
      <c r="A18" s="19">
        <v>42430</v>
      </c>
      <c r="B18" s="8" t="s">
        <v>158</v>
      </c>
      <c r="C18" s="8" t="s">
        <v>159</v>
      </c>
      <c r="D18" s="9" t="s">
        <v>69</v>
      </c>
      <c r="E18" s="7">
        <v>1056.1300000000001</v>
      </c>
      <c r="F18" s="7">
        <v>0</v>
      </c>
      <c r="G18" s="7">
        <v>0</v>
      </c>
      <c r="H18" s="7">
        <v>1056.1300000000001</v>
      </c>
      <c r="I18" s="13">
        <v>581234</v>
      </c>
      <c r="J18" s="20">
        <v>0</v>
      </c>
      <c r="K18" s="20">
        <f t="shared" si="0"/>
        <v>1056.1300000000001</v>
      </c>
      <c r="L18" s="1"/>
    </row>
    <row r="19" spans="1:12" x14ac:dyDescent="0.25">
      <c r="A19" s="19">
        <v>42430</v>
      </c>
      <c r="B19" s="8" t="s">
        <v>158</v>
      </c>
      <c r="C19" s="8" t="s">
        <v>159</v>
      </c>
      <c r="D19" s="9" t="s">
        <v>69</v>
      </c>
      <c r="E19" s="7">
        <v>7001.73</v>
      </c>
      <c r="F19" s="7">
        <v>0</v>
      </c>
      <c r="G19" s="7">
        <v>840.21</v>
      </c>
      <c r="H19" s="7">
        <v>7841.94</v>
      </c>
      <c r="I19" s="13">
        <v>582655</v>
      </c>
      <c r="J19" s="20">
        <v>0</v>
      </c>
      <c r="K19" s="20">
        <f t="shared" si="0"/>
        <v>7841.94</v>
      </c>
      <c r="L19" s="1"/>
    </row>
    <row r="20" spans="1:12" x14ac:dyDescent="0.25">
      <c r="A20" s="19">
        <v>42430</v>
      </c>
      <c r="B20" s="8" t="s">
        <v>161</v>
      </c>
      <c r="C20" s="8" t="s">
        <v>162</v>
      </c>
      <c r="D20" s="9" t="s">
        <v>149</v>
      </c>
      <c r="E20" s="7">
        <v>352</v>
      </c>
      <c r="F20" s="7">
        <v>0</v>
      </c>
      <c r="G20" s="7">
        <v>0</v>
      </c>
      <c r="H20" s="7">
        <v>352</v>
      </c>
      <c r="I20" s="13">
        <v>582649</v>
      </c>
      <c r="J20" s="20">
        <v>0</v>
      </c>
      <c r="K20" s="20">
        <f t="shared" si="0"/>
        <v>352</v>
      </c>
      <c r="L20" s="1"/>
    </row>
    <row r="21" spans="1:12" x14ac:dyDescent="0.25">
      <c r="A21" s="19">
        <v>42430</v>
      </c>
      <c r="B21" s="8" t="s">
        <v>163</v>
      </c>
      <c r="C21" s="8" t="s">
        <v>164</v>
      </c>
      <c r="D21" s="9" t="s">
        <v>50</v>
      </c>
      <c r="E21" s="7">
        <v>2422.15</v>
      </c>
      <c r="F21" s="7">
        <v>0</v>
      </c>
      <c r="G21" s="7">
        <v>290.66000000000003</v>
      </c>
      <c r="H21" s="7">
        <v>2712.81</v>
      </c>
      <c r="I21" s="13">
        <v>581035</v>
      </c>
      <c r="J21" s="20">
        <v>0</v>
      </c>
      <c r="K21" s="20">
        <f t="shared" si="0"/>
        <v>2712.81</v>
      </c>
      <c r="L21" s="1"/>
    </row>
    <row r="22" spans="1:12" x14ac:dyDescent="0.25">
      <c r="A22" s="19">
        <v>42430</v>
      </c>
      <c r="B22" s="8" t="s">
        <v>163</v>
      </c>
      <c r="C22" s="8" t="s">
        <v>164</v>
      </c>
      <c r="D22" s="9" t="s">
        <v>50</v>
      </c>
      <c r="E22" s="7">
        <v>397.79</v>
      </c>
      <c r="F22" s="7">
        <v>0</v>
      </c>
      <c r="G22" s="7">
        <v>0</v>
      </c>
      <c r="H22" s="7">
        <v>397.79</v>
      </c>
      <c r="I22" s="13">
        <v>581853</v>
      </c>
      <c r="J22" s="20">
        <v>0</v>
      </c>
      <c r="K22" s="20">
        <f t="shared" si="0"/>
        <v>397.79</v>
      </c>
      <c r="L22" s="1"/>
    </row>
    <row r="23" spans="1:12" x14ac:dyDescent="0.25">
      <c r="A23" s="19">
        <v>42430</v>
      </c>
      <c r="B23" s="8" t="s">
        <v>165</v>
      </c>
      <c r="C23" s="8" t="s">
        <v>166</v>
      </c>
      <c r="D23" s="9" t="s">
        <v>118</v>
      </c>
      <c r="E23" s="7">
        <v>1224.1099999999999</v>
      </c>
      <c r="F23" s="7">
        <v>0</v>
      </c>
      <c r="G23" s="7">
        <v>0</v>
      </c>
      <c r="H23" s="7">
        <v>1224.1099999999999</v>
      </c>
      <c r="I23" s="13">
        <v>581959</v>
      </c>
      <c r="J23" s="20">
        <v>0</v>
      </c>
      <c r="K23" s="20">
        <f t="shared" si="0"/>
        <v>1224.1099999999999</v>
      </c>
      <c r="L23" s="1"/>
    </row>
    <row r="24" spans="1:12" x14ac:dyDescent="0.25">
      <c r="A24" s="19">
        <v>42430</v>
      </c>
      <c r="B24" s="8" t="s">
        <v>167</v>
      </c>
      <c r="C24" s="8" t="s">
        <v>170</v>
      </c>
      <c r="D24" s="9" t="s">
        <v>73</v>
      </c>
      <c r="E24" s="7">
        <v>374.75</v>
      </c>
      <c r="F24" s="7">
        <v>0</v>
      </c>
      <c r="G24" s="7">
        <v>0</v>
      </c>
      <c r="H24" s="7">
        <v>374.75</v>
      </c>
      <c r="I24" s="13">
        <v>581420</v>
      </c>
      <c r="J24" s="20">
        <v>0</v>
      </c>
      <c r="K24" s="20">
        <f t="shared" si="0"/>
        <v>374.75</v>
      </c>
      <c r="L24" s="1"/>
    </row>
    <row r="25" spans="1:12" x14ac:dyDescent="0.25">
      <c r="A25" s="19">
        <v>42430</v>
      </c>
      <c r="B25" s="8" t="s">
        <v>168</v>
      </c>
      <c r="C25" s="8" t="s">
        <v>169</v>
      </c>
      <c r="D25" s="9" t="s">
        <v>142</v>
      </c>
      <c r="E25" s="7">
        <v>3248.11</v>
      </c>
      <c r="F25" s="7">
        <v>0</v>
      </c>
      <c r="G25" s="7">
        <v>0</v>
      </c>
      <c r="H25" s="7">
        <v>3248.11</v>
      </c>
      <c r="I25" s="13">
        <v>582494</v>
      </c>
      <c r="J25" s="20">
        <v>0</v>
      </c>
      <c r="K25" s="20">
        <f t="shared" si="0"/>
        <v>3248.11</v>
      </c>
      <c r="L25" s="1"/>
    </row>
    <row r="26" spans="1:12" x14ac:dyDescent="0.25">
      <c r="A26" s="19">
        <v>42430</v>
      </c>
      <c r="B26" s="8" t="s">
        <v>171</v>
      </c>
      <c r="C26" s="8" t="s">
        <v>172</v>
      </c>
      <c r="D26" s="9" t="s">
        <v>103</v>
      </c>
      <c r="E26" s="7">
        <v>1324.46</v>
      </c>
      <c r="F26" s="7">
        <v>0</v>
      </c>
      <c r="G26" s="7">
        <v>0</v>
      </c>
      <c r="H26" s="7">
        <v>1324.46</v>
      </c>
      <c r="I26" s="13">
        <v>581725</v>
      </c>
      <c r="J26" s="20">
        <v>0</v>
      </c>
      <c r="K26" s="20">
        <f t="shared" si="0"/>
        <v>1324.46</v>
      </c>
      <c r="L26" s="1"/>
    </row>
    <row r="27" spans="1:12" x14ac:dyDescent="0.25">
      <c r="A27" s="19">
        <v>42430</v>
      </c>
      <c r="B27" s="8" t="s">
        <v>173</v>
      </c>
      <c r="C27" s="8" t="s">
        <v>174</v>
      </c>
      <c r="D27" s="9" t="s">
        <v>53</v>
      </c>
      <c r="E27" s="7">
        <v>651.72</v>
      </c>
      <c r="F27" s="7">
        <v>0</v>
      </c>
      <c r="G27" s="7">
        <v>0</v>
      </c>
      <c r="H27" s="7">
        <v>651.72</v>
      </c>
      <c r="I27" s="13">
        <v>581044</v>
      </c>
      <c r="J27" s="20">
        <v>0</v>
      </c>
      <c r="K27" s="20">
        <f t="shared" si="0"/>
        <v>651.72</v>
      </c>
      <c r="L27" s="1"/>
    </row>
    <row r="28" spans="1:12" x14ac:dyDescent="0.25">
      <c r="A28" s="19">
        <v>42430</v>
      </c>
      <c r="B28" s="8" t="s">
        <v>175</v>
      </c>
      <c r="C28" s="8" t="s">
        <v>176</v>
      </c>
      <c r="D28" s="9" t="s">
        <v>37</v>
      </c>
      <c r="E28" s="7">
        <v>1595.87</v>
      </c>
      <c r="F28" s="7">
        <v>0</v>
      </c>
      <c r="G28" s="7">
        <v>0</v>
      </c>
      <c r="H28" s="7">
        <v>1595.87</v>
      </c>
      <c r="I28" s="13">
        <v>581223</v>
      </c>
      <c r="J28" s="20">
        <v>0</v>
      </c>
      <c r="K28" s="20">
        <f t="shared" si="0"/>
        <v>1595.87</v>
      </c>
      <c r="L28" s="1"/>
    </row>
    <row r="29" spans="1:12" x14ac:dyDescent="0.25">
      <c r="A29" s="19">
        <v>42430</v>
      </c>
      <c r="B29" s="8" t="s">
        <v>175</v>
      </c>
      <c r="C29" s="8" t="s">
        <v>176</v>
      </c>
      <c r="D29" s="9" t="s">
        <v>37</v>
      </c>
      <c r="E29" s="7">
        <v>1636.81</v>
      </c>
      <c r="F29" s="7">
        <v>0</v>
      </c>
      <c r="G29" s="7">
        <v>0</v>
      </c>
      <c r="H29" s="7">
        <v>1636.81</v>
      </c>
      <c r="I29" s="13">
        <v>581224</v>
      </c>
      <c r="J29" s="20">
        <v>0</v>
      </c>
      <c r="K29" s="20">
        <f t="shared" si="0"/>
        <v>1636.81</v>
      </c>
      <c r="L29" s="1"/>
    </row>
    <row r="30" spans="1:12" x14ac:dyDescent="0.25">
      <c r="A30" s="19">
        <v>42430</v>
      </c>
      <c r="B30" s="8" t="s">
        <v>175</v>
      </c>
      <c r="C30" s="8" t="s">
        <v>176</v>
      </c>
      <c r="D30" s="9" t="s">
        <v>37</v>
      </c>
      <c r="E30" s="7">
        <v>6031.72</v>
      </c>
      <c r="F30" s="7">
        <v>0</v>
      </c>
      <c r="G30" s="7">
        <v>0</v>
      </c>
      <c r="H30" s="7">
        <v>6031.72</v>
      </c>
      <c r="I30" s="13">
        <v>581372</v>
      </c>
      <c r="J30" s="20">
        <v>0</v>
      </c>
      <c r="K30" s="20">
        <f t="shared" si="0"/>
        <v>6031.72</v>
      </c>
      <c r="L30" s="1"/>
    </row>
    <row r="31" spans="1:12" x14ac:dyDescent="0.25">
      <c r="A31" s="19">
        <v>42430</v>
      </c>
      <c r="B31" s="8" t="s">
        <v>177</v>
      </c>
      <c r="C31" s="8" t="s">
        <v>178</v>
      </c>
      <c r="D31" s="9" t="s">
        <v>125</v>
      </c>
      <c r="E31" s="7">
        <v>332</v>
      </c>
      <c r="F31" s="7">
        <v>0</v>
      </c>
      <c r="G31" s="7">
        <v>0</v>
      </c>
      <c r="H31" s="7">
        <v>332</v>
      </c>
      <c r="I31" s="13">
        <v>582053</v>
      </c>
      <c r="J31" s="20">
        <v>0</v>
      </c>
      <c r="K31" s="20">
        <f t="shared" si="0"/>
        <v>332</v>
      </c>
      <c r="L31" s="1"/>
    </row>
    <row r="32" spans="1:12" x14ac:dyDescent="0.25">
      <c r="A32" s="19">
        <v>42430</v>
      </c>
      <c r="B32" s="8" t="s">
        <v>181</v>
      </c>
      <c r="C32" s="8" t="s">
        <v>182</v>
      </c>
      <c r="D32" s="9" t="s">
        <v>59</v>
      </c>
      <c r="E32" s="7">
        <v>694.01</v>
      </c>
      <c r="F32" s="7">
        <v>0</v>
      </c>
      <c r="G32" s="7">
        <v>10.72</v>
      </c>
      <c r="H32" s="7">
        <v>704.73</v>
      </c>
      <c r="I32" s="13">
        <v>581095</v>
      </c>
      <c r="J32" s="20">
        <v>0</v>
      </c>
      <c r="K32" s="20">
        <f t="shared" si="0"/>
        <v>704.73</v>
      </c>
      <c r="L32" s="1"/>
    </row>
    <row r="33" spans="1:12" x14ac:dyDescent="0.25">
      <c r="A33" s="19">
        <v>42430</v>
      </c>
      <c r="B33" s="8" t="s">
        <v>179</v>
      </c>
      <c r="C33" s="8" t="s">
        <v>180</v>
      </c>
      <c r="D33" s="9" t="s">
        <v>76</v>
      </c>
      <c r="E33" s="7">
        <v>541.04</v>
      </c>
      <c r="F33" s="7">
        <v>0</v>
      </c>
      <c r="G33" s="7">
        <v>0</v>
      </c>
      <c r="H33" s="7">
        <v>541.04</v>
      </c>
      <c r="I33" s="13">
        <v>581423</v>
      </c>
      <c r="J33" s="20">
        <v>0</v>
      </c>
      <c r="K33" s="20">
        <f t="shared" si="0"/>
        <v>541.04</v>
      </c>
      <c r="L33" s="1"/>
    </row>
    <row r="34" spans="1:12" x14ac:dyDescent="0.25">
      <c r="A34" s="19">
        <v>42430</v>
      </c>
      <c r="B34" s="8" t="s">
        <v>183</v>
      </c>
      <c r="C34" s="8" t="s">
        <v>184</v>
      </c>
      <c r="D34" s="9" t="s">
        <v>21</v>
      </c>
      <c r="E34" s="7">
        <v>670.58</v>
      </c>
      <c r="F34" s="7">
        <v>0</v>
      </c>
      <c r="G34" s="7">
        <v>34.28</v>
      </c>
      <c r="H34" s="7">
        <v>704.86</v>
      </c>
      <c r="I34" s="13">
        <v>581260</v>
      </c>
      <c r="J34" s="20">
        <v>0</v>
      </c>
      <c r="K34" s="20">
        <f t="shared" si="0"/>
        <v>704.86</v>
      </c>
      <c r="L34" s="1"/>
    </row>
    <row r="35" spans="1:12" x14ac:dyDescent="0.25">
      <c r="A35" s="19">
        <v>42431</v>
      </c>
      <c r="B35" s="8" t="s">
        <v>185</v>
      </c>
      <c r="C35" s="8" t="s">
        <v>186</v>
      </c>
      <c r="D35" s="9" t="s">
        <v>129</v>
      </c>
      <c r="E35" s="7">
        <v>629.01</v>
      </c>
      <c r="F35" s="7">
        <v>0</v>
      </c>
      <c r="G35" s="7">
        <v>16.95</v>
      </c>
      <c r="H35" s="7">
        <v>645.96</v>
      </c>
      <c r="I35" s="13">
        <v>582118</v>
      </c>
      <c r="J35" s="20">
        <v>0</v>
      </c>
      <c r="K35" s="20">
        <f t="shared" si="0"/>
        <v>645.96</v>
      </c>
      <c r="L35" s="1"/>
    </row>
    <row r="36" spans="1:12" x14ac:dyDescent="0.25">
      <c r="A36" s="19">
        <v>42431</v>
      </c>
      <c r="B36" s="8" t="s">
        <v>187</v>
      </c>
      <c r="C36" s="8" t="s">
        <v>188</v>
      </c>
      <c r="D36" s="9" t="s">
        <v>61</v>
      </c>
      <c r="E36" s="25">
        <v>1135.1500000000001</v>
      </c>
      <c r="F36" s="25">
        <v>0</v>
      </c>
      <c r="G36" s="25">
        <v>0</v>
      </c>
      <c r="H36" s="25">
        <v>1135.1500000000001</v>
      </c>
      <c r="I36" s="13">
        <v>581117</v>
      </c>
      <c r="J36" s="20">
        <v>0</v>
      </c>
      <c r="K36" s="20">
        <f t="shared" si="0"/>
        <v>1135.1500000000001</v>
      </c>
      <c r="L36" s="1"/>
    </row>
    <row r="37" spans="1:12" x14ac:dyDescent="0.25">
      <c r="A37" s="19">
        <v>42431</v>
      </c>
      <c r="B37" s="8" t="s">
        <v>187</v>
      </c>
      <c r="C37" s="8" t="s">
        <v>188</v>
      </c>
      <c r="D37" s="9" t="s">
        <v>61</v>
      </c>
      <c r="E37" s="7">
        <v>797.67</v>
      </c>
      <c r="F37" s="7">
        <v>0</v>
      </c>
      <c r="G37" s="7">
        <v>0</v>
      </c>
      <c r="H37" s="7">
        <v>797.67</v>
      </c>
      <c r="I37" s="13">
        <v>581198</v>
      </c>
      <c r="J37" s="20">
        <v>0</v>
      </c>
      <c r="K37" s="20">
        <f t="shared" si="0"/>
        <v>797.67</v>
      </c>
      <c r="L37" s="1"/>
    </row>
    <row r="38" spans="1:12" x14ac:dyDescent="0.25">
      <c r="A38" s="19">
        <v>42431</v>
      </c>
      <c r="B38" s="8" t="s">
        <v>187</v>
      </c>
      <c r="C38" s="8" t="s">
        <v>188</v>
      </c>
      <c r="D38" s="9" t="s">
        <v>61</v>
      </c>
      <c r="E38" s="7">
        <v>4163.24</v>
      </c>
      <c r="F38" s="7">
        <v>0</v>
      </c>
      <c r="G38" s="7">
        <v>0</v>
      </c>
      <c r="H38" s="7">
        <v>4163.24</v>
      </c>
      <c r="I38" s="13">
        <v>582057</v>
      </c>
      <c r="J38" s="20">
        <v>0</v>
      </c>
      <c r="K38" s="20">
        <f t="shared" si="0"/>
        <v>4163.24</v>
      </c>
      <c r="L38" s="1"/>
    </row>
    <row r="39" spans="1:12" x14ac:dyDescent="0.25">
      <c r="A39" s="19">
        <v>42431</v>
      </c>
      <c r="B39" s="8" t="s">
        <v>189</v>
      </c>
      <c r="C39" s="8" t="s">
        <v>190</v>
      </c>
      <c r="D39" s="9" t="s">
        <v>57</v>
      </c>
      <c r="E39" s="7">
        <v>117.05</v>
      </c>
      <c r="F39" s="7">
        <v>0</v>
      </c>
      <c r="G39" s="7">
        <v>0</v>
      </c>
      <c r="H39" s="7">
        <v>117.05</v>
      </c>
      <c r="I39" s="13">
        <v>581077</v>
      </c>
      <c r="J39" s="20">
        <v>0</v>
      </c>
      <c r="K39" s="20">
        <f t="shared" si="0"/>
        <v>117.05</v>
      </c>
      <c r="L39" s="1"/>
    </row>
    <row r="40" spans="1:12" x14ac:dyDescent="0.25">
      <c r="A40" s="19">
        <v>42432</v>
      </c>
      <c r="B40" s="8" t="s">
        <v>191</v>
      </c>
      <c r="C40" s="8" t="s">
        <v>192</v>
      </c>
      <c r="D40" s="9" t="s">
        <v>39</v>
      </c>
      <c r="E40" s="7">
        <v>2936.56</v>
      </c>
      <c r="F40" s="7">
        <v>0</v>
      </c>
      <c r="G40" s="7">
        <v>0</v>
      </c>
      <c r="H40" s="7">
        <v>2936.56</v>
      </c>
      <c r="I40" s="13">
        <v>581402</v>
      </c>
      <c r="J40" s="20">
        <v>0</v>
      </c>
      <c r="K40" s="20">
        <f t="shared" ref="K40:K71" si="1">H40-J40</f>
        <v>2936.56</v>
      </c>
      <c r="L40" s="1"/>
    </row>
    <row r="41" spans="1:12" x14ac:dyDescent="0.25">
      <c r="A41" s="19">
        <v>42432</v>
      </c>
      <c r="B41" s="8" t="s">
        <v>191</v>
      </c>
      <c r="C41" s="8" t="s">
        <v>192</v>
      </c>
      <c r="D41" s="9" t="s">
        <v>39</v>
      </c>
      <c r="E41" s="7">
        <v>918.71</v>
      </c>
      <c r="F41" s="7">
        <v>0</v>
      </c>
      <c r="G41" s="7">
        <v>0</v>
      </c>
      <c r="H41" s="7">
        <v>918.71</v>
      </c>
      <c r="I41" s="13">
        <v>582452</v>
      </c>
      <c r="J41" s="20">
        <v>0</v>
      </c>
      <c r="K41" s="20">
        <f t="shared" si="1"/>
        <v>918.71</v>
      </c>
      <c r="L41" s="1"/>
    </row>
    <row r="42" spans="1:12" x14ac:dyDescent="0.25">
      <c r="A42" s="19">
        <v>42432</v>
      </c>
      <c r="B42" s="8" t="s">
        <v>194</v>
      </c>
      <c r="C42" s="8" t="s">
        <v>195</v>
      </c>
      <c r="D42" s="9" t="s">
        <v>114</v>
      </c>
      <c r="E42" s="7">
        <v>1712.16</v>
      </c>
      <c r="F42" s="7">
        <v>0</v>
      </c>
      <c r="G42" s="7">
        <v>0</v>
      </c>
      <c r="H42" s="7">
        <v>1712.16</v>
      </c>
      <c r="I42" s="13">
        <v>581868</v>
      </c>
      <c r="J42" s="20">
        <v>0</v>
      </c>
      <c r="K42" s="20">
        <f t="shared" si="1"/>
        <v>1712.16</v>
      </c>
      <c r="L42" s="1"/>
    </row>
    <row r="43" spans="1:12" x14ac:dyDescent="0.25">
      <c r="A43" s="19">
        <v>42432</v>
      </c>
      <c r="B43" s="8" t="s">
        <v>196</v>
      </c>
      <c r="C43" s="8" t="s">
        <v>197</v>
      </c>
      <c r="D43" s="9" t="s">
        <v>65</v>
      </c>
      <c r="E43" s="7">
        <v>269.22000000000003</v>
      </c>
      <c r="F43" s="7">
        <v>0</v>
      </c>
      <c r="G43" s="7">
        <v>0</v>
      </c>
      <c r="H43" s="7">
        <v>269.22000000000003</v>
      </c>
      <c r="I43" s="13">
        <v>581190</v>
      </c>
      <c r="J43" s="20">
        <v>0</v>
      </c>
      <c r="K43" s="20">
        <f t="shared" si="1"/>
        <v>269.22000000000003</v>
      </c>
      <c r="L43" s="1"/>
    </row>
    <row r="44" spans="1:12" x14ac:dyDescent="0.25">
      <c r="A44" s="19">
        <v>42432</v>
      </c>
      <c r="B44" s="8" t="s">
        <v>198</v>
      </c>
      <c r="C44" s="8" t="s">
        <v>199</v>
      </c>
      <c r="D44" s="9" t="s">
        <v>143</v>
      </c>
      <c r="E44" s="7">
        <v>944.06</v>
      </c>
      <c r="F44" s="7">
        <v>0</v>
      </c>
      <c r="G44" s="7">
        <v>0</v>
      </c>
      <c r="H44" s="7">
        <v>944.06</v>
      </c>
      <c r="I44" s="13">
        <v>582503</v>
      </c>
      <c r="J44" s="20">
        <v>0</v>
      </c>
      <c r="K44" s="20">
        <f t="shared" si="1"/>
        <v>944.06</v>
      </c>
      <c r="L44" s="1"/>
    </row>
    <row r="45" spans="1:12" x14ac:dyDescent="0.25">
      <c r="A45" s="19">
        <v>42432</v>
      </c>
      <c r="B45" s="8" t="s">
        <v>200</v>
      </c>
      <c r="C45" s="8" t="s">
        <v>201</v>
      </c>
      <c r="D45" s="9" t="s">
        <v>85</v>
      </c>
      <c r="E45" s="7">
        <v>3094.38</v>
      </c>
      <c r="F45" s="7">
        <v>0</v>
      </c>
      <c r="G45" s="7">
        <v>0</v>
      </c>
      <c r="H45" s="7">
        <v>3094.38</v>
      </c>
      <c r="I45" s="13">
        <v>581501</v>
      </c>
      <c r="J45" s="20">
        <v>0</v>
      </c>
      <c r="K45" s="20">
        <f t="shared" si="1"/>
        <v>3094.38</v>
      </c>
      <c r="L45" s="1"/>
    </row>
    <row r="46" spans="1:12" x14ac:dyDescent="0.25">
      <c r="A46" s="19">
        <v>42432</v>
      </c>
      <c r="B46" s="8" t="s">
        <v>202</v>
      </c>
      <c r="C46" s="8" t="s">
        <v>203</v>
      </c>
      <c r="D46" s="9" t="s">
        <v>34</v>
      </c>
      <c r="E46" s="7">
        <v>1706.86</v>
      </c>
      <c r="F46" s="7">
        <v>0</v>
      </c>
      <c r="G46" s="7">
        <v>0</v>
      </c>
      <c r="H46" s="7">
        <v>1706.86</v>
      </c>
      <c r="I46" s="13">
        <v>581362</v>
      </c>
      <c r="J46" s="20">
        <v>0</v>
      </c>
      <c r="K46" s="20">
        <f t="shared" si="1"/>
        <v>1706.86</v>
      </c>
      <c r="L46" s="1"/>
    </row>
    <row r="47" spans="1:12" x14ac:dyDescent="0.25">
      <c r="A47" s="19">
        <v>42432</v>
      </c>
      <c r="B47" s="8" t="s">
        <v>204</v>
      </c>
      <c r="C47" s="8" t="s">
        <v>205</v>
      </c>
      <c r="D47" s="9" t="s">
        <v>104</v>
      </c>
      <c r="E47" s="7">
        <v>487.76</v>
      </c>
      <c r="F47" s="7">
        <v>0</v>
      </c>
      <c r="G47" s="7">
        <v>0</v>
      </c>
      <c r="H47" s="7">
        <v>487.76</v>
      </c>
      <c r="I47" s="13">
        <v>581738</v>
      </c>
      <c r="J47" s="20">
        <v>0</v>
      </c>
      <c r="K47" s="20">
        <f t="shared" si="1"/>
        <v>487.76</v>
      </c>
      <c r="L47" s="1"/>
    </row>
    <row r="48" spans="1:12" x14ac:dyDescent="0.25">
      <c r="A48" s="19">
        <v>42432</v>
      </c>
      <c r="B48" s="8" t="s">
        <v>206</v>
      </c>
      <c r="C48" s="8" t="s">
        <v>207</v>
      </c>
      <c r="D48" s="9" t="s">
        <v>56</v>
      </c>
      <c r="E48" s="7">
        <v>420</v>
      </c>
      <c r="F48" s="7">
        <v>0</v>
      </c>
      <c r="G48" s="7">
        <v>0</v>
      </c>
      <c r="H48" s="7">
        <v>420</v>
      </c>
      <c r="I48" s="13">
        <v>581067</v>
      </c>
      <c r="J48" s="20">
        <v>0</v>
      </c>
      <c r="K48" s="20">
        <f t="shared" si="1"/>
        <v>420</v>
      </c>
      <c r="L48" s="1"/>
    </row>
    <row r="49" spans="1:12" x14ac:dyDescent="0.25">
      <c r="A49" s="19">
        <v>42432</v>
      </c>
      <c r="B49" s="8" t="s">
        <v>206</v>
      </c>
      <c r="C49" s="8" t="s">
        <v>207</v>
      </c>
      <c r="D49" s="9" t="s">
        <v>56</v>
      </c>
      <c r="E49" s="7">
        <v>352</v>
      </c>
      <c r="F49" s="7">
        <v>0</v>
      </c>
      <c r="G49" s="7">
        <v>0</v>
      </c>
      <c r="H49" s="7">
        <v>352</v>
      </c>
      <c r="I49" s="13">
        <v>582519</v>
      </c>
      <c r="J49" s="20">
        <v>0</v>
      </c>
      <c r="K49" s="20">
        <f t="shared" si="1"/>
        <v>352</v>
      </c>
      <c r="L49" s="1"/>
    </row>
    <row r="50" spans="1:12" x14ac:dyDescent="0.25">
      <c r="A50" s="19">
        <v>42432</v>
      </c>
      <c r="B50" s="8" t="s">
        <v>208</v>
      </c>
      <c r="C50" s="8" t="s">
        <v>209</v>
      </c>
      <c r="D50" s="9" t="s">
        <v>112</v>
      </c>
      <c r="E50" s="7">
        <v>1253.06</v>
      </c>
      <c r="F50" s="7">
        <v>0</v>
      </c>
      <c r="G50" s="7">
        <v>0</v>
      </c>
      <c r="H50" s="7">
        <v>1253.06</v>
      </c>
      <c r="I50" s="13">
        <v>581842</v>
      </c>
      <c r="J50" s="20">
        <v>0</v>
      </c>
      <c r="K50" s="20">
        <f t="shared" si="1"/>
        <v>1253.06</v>
      </c>
      <c r="L50" s="1"/>
    </row>
    <row r="51" spans="1:12" x14ac:dyDescent="0.25">
      <c r="A51" s="19">
        <v>42432</v>
      </c>
      <c r="B51" s="8" t="s">
        <v>210</v>
      </c>
      <c r="C51" s="8" t="s">
        <v>211</v>
      </c>
      <c r="D51" s="9" t="s">
        <v>79</v>
      </c>
      <c r="E51" s="7">
        <v>1511.38</v>
      </c>
      <c r="F51" s="7">
        <v>0</v>
      </c>
      <c r="G51" s="7">
        <v>0</v>
      </c>
      <c r="H51" s="7">
        <v>1511.38</v>
      </c>
      <c r="I51" s="13">
        <v>581440</v>
      </c>
      <c r="J51" s="20">
        <v>0</v>
      </c>
      <c r="K51" s="20">
        <f t="shared" si="1"/>
        <v>1511.38</v>
      </c>
      <c r="L51" s="1"/>
    </row>
    <row r="52" spans="1:12" x14ac:dyDescent="0.25">
      <c r="A52" s="19">
        <v>42432</v>
      </c>
      <c r="B52" s="8" t="s">
        <v>212</v>
      </c>
      <c r="C52" s="8" t="s">
        <v>213</v>
      </c>
      <c r="D52" s="9" t="s">
        <v>75</v>
      </c>
      <c r="E52" s="7">
        <v>2350.11</v>
      </c>
      <c r="F52" s="7">
        <v>0</v>
      </c>
      <c r="G52" s="7">
        <v>0</v>
      </c>
      <c r="H52" s="7">
        <v>2350.11</v>
      </c>
      <c r="I52" s="13">
        <v>581422</v>
      </c>
      <c r="J52" s="20">
        <v>0</v>
      </c>
      <c r="K52" s="20">
        <f t="shared" si="1"/>
        <v>2350.11</v>
      </c>
      <c r="L52" s="1"/>
    </row>
    <row r="53" spans="1:12" x14ac:dyDescent="0.25">
      <c r="A53" s="19">
        <v>42432</v>
      </c>
      <c r="B53" s="8" t="s">
        <v>215</v>
      </c>
      <c r="C53" s="8" t="s">
        <v>216</v>
      </c>
      <c r="D53" s="9" t="s">
        <v>27</v>
      </c>
      <c r="E53" s="7">
        <v>12298.39</v>
      </c>
      <c r="F53" s="7">
        <v>0</v>
      </c>
      <c r="G53" s="7">
        <v>0</v>
      </c>
      <c r="H53" s="7">
        <v>12298.39</v>
      </c>
      <c r="I53" s="13">
        <v>581312</v>
      </c>
      <c r="J53" s="20">
        <v>0</v>
      </c>
      <c r="K53" s="20">
        <f t="shared" si="1"/>
        <v>12298.39</v>
      </c>
      <c r="L53" s="1"/>
    </row>
    <row r="54" spans="1:12" x14ac:dyDescent="0.25">
      <c r="A54" s="19">
        <v>42432</v>
      </c>
      <c r="B54" s="8" t="s">
        <v>215</v>
      </c>
      <c r="C54" s="8" t="s">
        <v>216</v>
      </c>
      <c r="D54" s="9" t="s">
        <v>27</v>
      </c>
      <c r="E54" s="7">
        <v>3716.23</v>
      </c>
      <c r="F54" s="7">
        <v>0</v>
      </c>
      <c r="G54" s="7">
        <v>0</v>
      </c>
      <c r="H54" s="7">
        <v>3716.23</v>
      </c>
      <c r="I54" s="13">
        <v>581313</v>
      </c>
      <c r="J54" s="20">
        <v>0</v>
      </c>
      <c r="K54" s="20">
        <f t="shared" si="1"/>
        <v>3716.23</v>
      </c>
      <c r="L54" s="1"/>
    </row>
    <row r="55" spans="1:12" x14ac:dyDescent="0.25">
      <c r="A55" s="19">
        <v>42432</v>
      </c>
      <c r="B55" s="8" t="s">
        <v>215</v>
      </c>
      <c r="C55" s="8" t="s">
        <v>216</v>
      </c>
      <c r="D55" s="9" t="s">
        <v>27</v>
      </c>
      <c r="E55" s="7">
        <v>458.6</v>
      </c>
      <c r="F55" s="7">
        <v>0</v>
      </c>
      <c r="G55" s="7">
        <v>0</v>
      </c>
      <c r="H55" s="7">
        <v>458.6</v>
      </c>
      <c r="I55" s="13">
        <v>581315</v>
      </c>
      <c r="J55" s="20">
        <v>0</v>
      </c>
      <c r="K55" s="20">
        <f t="shared" si="1"/>
        <v>458.6</v>
      </c>
      <c r="L55" s="1"/>
    </row>
    <row r="56" spans="1:12" x14ac:dyDescent="0.25">
      <c r="A56" s="19">
        <v>42432</v>
      </c>
      <c r="B56" s="8" t="s">
        <v>215</v>
      </c>
      <c r="C56" s="8" t="s">
        <v>216</v>
      </c>
      <c r="D56" s="9" t="s">
        <v>27</v>
      </c>
      <c r="E56" s="7">
        <v>6268.2</v>
      </c>
      <c r="F56" s="7">
        <v>0</v>
      </c>
      <c r="G56" s="7">
        <v>0</v>
      </c>
      <c r="H56" s="7">
        <v>6268.2</v>
      </c>
      <c r="I56" s="13">
        <v>582650</v>
      </c>
      <c r="J56" s="20">
        <v>0</v>
      </c>
      <c r="K56" s="20">
        <f t="shared" si="1"/>
        <v>6268.2</v>
      </c>
      <c r="L56" s="1"/>
    </row>
    <row r="57" spans="1:12" x14ac:dyDescent="0.25">
      <c r="A57" s="19">
        <v>42433</v>
      </c>
      <c r="B57" s="8" t="s">
        <v>217</v>
      </c>
      <c r="C57" s="8" t="s">
        <v>218</v>
      </c>
      <c r="D57" s="9" t="s">
        <v>98</v>
      </c>
      <c r="E57" s="7">
        <v>1016.18</v>
      </c>
      <c r="F57" s="7">
        <v>0</v>
      </c>
      <c r="G57" s="7">
        <v>0</v>
      </c>
      <c r="H57" s="7">
        <v>1016.18</v>
      </c>
      <c r="I57" s="13">
        <v>581657</v>
      </c>
      <c r="J57" s="20">
        <v>0</v>
      </c>
      <c r="K57" s="20">
        <f t="shared" si="1"/>
        <v>1016.18</v>
      </c>
      <c r="L57" s="1"/>
    </row>
    <row r="58" spans="1:12" x14ac:dyDescent="0.25">
      <c r="A58" s="19">
        <v>42433</v>
      </c>
      <c r="B58" s="8" t="s">
        <v>219</v>
      </c>
      <c r="C58" s="8" t="s">
        <v>220</v>
      </c>
      <c r="D58" s="9" t="s">
        <v>63</v>
      </c>
      <c r="E58" s="25">
        <v>3069.91</v>
      </c>
      <c r="F58" s="25">
        <v>0</v>
      </c>
      <c r="G58" s="25">
        <v>41.4</v>
      </c>
      <c r="H58" s="25">
        <v>3111.31</v>
      </c>
      <c r="I58" s="13">
        <v>581144</v>
      </c>
      <c r="J58" s="20">
        <v>0</v>
      </c>
      <c r="K58" s="20">
        <f t="shared" si="1"/>
        <v>3111.31</v>
      </c>
      <c r="L58" s="1"/>
    </row>
    <row r="59" spans="1:12" x14ac:dyDescent="0.25">
      <c r="A59" s="19">
        <v>42433</v>
      </c>
      <c r="B59" s="8" t="s">
        <v>219</v>
      </c>
      <c r="C59" s="8" t="s">
        <v>220</v>
      </c>
      <c r="D59" s="9" t="s">
        <v>63</v>
      </c>
      <c r="E59" s="7">
        <v>1689.18</v>
      </c>
      <c r="F59" s="7">
        <v>0</v>
      </c>
      <c r="G59" s="7">
        <v>144.16999999999999</v>
      </c>
      <c r="H59" s="7">
        <v>1833.35</v>
      </c>
      <c r="I59" s="13">
        <v>582018</v>
      </c>
      <c r="J59" s="20">
        <v>0</v>
      </c>
      <c r="K59" s="20">
        <f t="shared" si="1"/>
        <v>1833.35</v>
      </c>
      <c r="L59" s="1"/>
    </row>
    <row r="60" spans="1:12" x14ac:dyDescent="0.25">
      <c r="A60" s="19">
        <v>42433</v>
      </c>
      <c r="B60" s="8" t="s">
        <v>221</v>
      </c>
      <c r="C60" s="8" t="s">
        <v>222</v>
      </c>
      <c r="D60" s="9" t="s">
        <v>145</v>
      </c>
      <c r="E60" s="7">
        <v>1048.21</v>
      </c>
      <c r="F60" s="7">
        <v>0</v>
      </c>
      <c r="G60" s="7">
        <v>0</v>
      </c>
      <c r="H60" s="7">
        <v>1048.21</v>
      </c>
      <c r="I60" s="13">
        <v>582538</v>
      </c>
      <c r="J60" s="20">
        <v>0</v>
      </c>
      <c r="K60" s="20">
        <f t="shared" si="1"/>
        <v>1048.21</v>
      </c>
      <c r="L60" s="1"/>
    </row>
    <row r="61" spans="1:12" x14ac:dyDescent="0.25">
      <c r="A61" s="19">
        <v>42433</v>
      </c>
      <c r="B61" s="8" t="s">
        <v>223</v>
      </c>
      <c r="C61" s="8" t="s">
        <v>224</v>
      </c>
      <c r="D61" s="9" t="s">
        <v>87</v>
      </c>
      <c r="E61" s="7">
        <v>797.67</v>
      </c>
      <c r="F61" s="7">
        <v>0</v>
      </c>
      <c r="G61" s="7">
        <v>0</v>
      </c>
      <c r="H61" s="7">
        <v>797.67</v>
      </c>
      <c r="I61" s="13">
        <v>581514</v>
      </c>
      <c r="J61" s="20">
        <v>0</v>
      </c>
      <c r="K61" s="20">
        <f t="shared" si="1"/>
        <v>797.67</v>
      </c>
      <c r="L61" s="1"/>
    </row>
    <row r="62" spans="1:12" x14ac:dyDescent="0.25">
      <c r="A62" s="19">
        <v>42433</v>
      </c>
      <c r="B62" s="8" t="s">
        <v>225</v>
      </c>
      <c r="C62" s="8" t="s">
        <v>226</v>
      </c>
      <c r="D62" s="9" t="s">
        <v>106</v>
      </c>
      <c r="E62" s="7">
        <v>1858.43</v>
      </c>
      <c r="F62" s="7">
        <v>0</v>
      </c>
      <c r="G62" s="7">
        <v>67.489999999999995</v>
      </c>
      <c r="H62" s="7">
        <v>1925.92</v>
      </c>
      <c r="I62" s="13">
        <v>581748</v>
      </c>
      <c r="J62" s="20">
        <v>0</v>
      </c>
      <c r="K62" s="20">
        <f t="shared" si="1"/>
        <v>1925.92</v>
      </c>
      <c r="L62" s="1"/>
    </row>
    <row r="63" spans="1:12" x14ac:dyDescent="0.25">
      <c r="A63" s="19">
        <v>42433</v>
      </c>
      <c r="B63" s="8" t="s">
        <v>225</v>
      </c>
      <c r="C63" s="8" t="s">
        <v>226</v>
      </c>
      <c r="D63" s="9" t="s">
        <v>106</v>
      </c>
      <c r="E63" s="7">
        <v>3331.55</v>
      </c>
      <c r="F63" s="7">
        <v>0</v>
      </c>
      <c r="G63" s="7">
        <v>0</v>
      </c>
      <c r="H63" s="7">
        <v>3331.55</v>
      </c>
      <c r="I63" s="13">
        <v>581884</v>
      </c>
      <c r="J63" s="20">
        <v>0</v>
      </c>
      <c r="K63" s="20">
        <f t="shared" si="1"/>
        <v>3331.55</v>
      </c>
      <c r="L63" s="1"/>
    </row>
    <row r="64" spans="1:12" x14ac:dyDescent="0.25">
      <c r="A64" s="19">
        <v>42433</v>
      </c>
      <c r="B64" s="8" t="s">
        <v>225</v>
      </c>
      <c r="C64" s="8" t="s">
        <v>226</v>
      </c>
      <c r="D64" s="9" t="s">
        <v>106</v>
      </c>
      <c r="E64" s="7">
        <v>1749.73</v>
      </c>
      <c r="F64" s="7">
        <v>0</v>
      </c>
      <c r="G64" s="7">
        <v>179.79</v>
      </c>
      <c r="H64" s="7">
        <v>1929.52</v>
      </c>
      <c r="I64" s="13">
        <v>582463</v>
      </c>
      <c r="J64" s="20">
        <v>0</v>
      </c>
      <c r="K64" s="20">
        <f t="shared" si="1"/>
        <v>1929.52</v>
      </c>
      <c r="L64" s="1"/>
    </row>
    <row r="65" spans="1:12" x14ac:dyDescent="0.25">
      <c r="A65" s="19">
        <v>42433</v>
      </c>
      <c r="B65" s="8" t="s">
        <v>225</v>
      </c>
      <c r="C65" s="8" t="s">
        <v>226</v>
      </c>
      <c r="D65" s="9" t="s">
        <v>106</v>
      </c>
      <c r="E65" s="7">
        <v>461.46</v>
      </c>
      <c r="F65" s="7">
        <v>0</v>
      </c>
      <c r="G65" s="7">
        <v>0</v>
      </c>
      <c r="H65" s="7">
        <v>461.46</v>
      </c>
      <c r="I65" s="13">
        <v>582590</v>
      </c>
      <c r="J65" s="20">
        <v>0</v>
      </c>
      <c r="K65" s="20">
        <f t="shared" si="1"/>
        <v>461.46</v>
      </c>
      <c r="L65" s="1"/>
    </row>
    <row r="66" spans="1:12" x14ac:dyDescent="0.25">
      <c r="A66" s="19">
        <v>42433</v>
      </c>
      <c r="B66" s="8" t="s">
        <v>225</v>
      </c>
      <c r="C66" s="8" t="s">
        <v>226</v>
      </c>
      <c r="D66" s="9" t="s">
        <v>106</v>
      </c>
      <c r="E66" s="7">
        <v>1795.78</v>
      </c>
      <c r="F66" s="7">
        <v>0</v>
      </c>
      <c r="G66" s="7">
        <v>215.49</v>
      </c>
      <c r="H66" s="7">
        <v>2011.27</v>
      </c>
      <c r="I66" s="13">
        <v>582592</v>
      </c>
      <c r="J66" s="20">
        <v>0</v>
      </c>
      <c r="K66" s="20">
        <f t="shared" si="1"/>
        <v>2011.27</v>
      </c>
      <c r="L66" s="1"/>
    </row>
    <row r="67" spans="1:12" x14ac:dyDescent="0.25">
      <c r="A67" s="19">
        <v>42433</v>
      </c>
      <c r="B67" s="8" t="s">
        <v>227</v>
      </c>
      <c r="C67" s="8" t="s">
        <v>228</v>
      </c>
      <c r="D67" s="9" t="s">
        <v>71</v>
      </c>
      <c r="E67" s="7">
        <v>611.66999999999996</v>
      </c>
      <c r="F67" s="7">
        <v>0</v>
      </c>
      <c r="G67" s="7">
        <v>0</v>
      </c>
      <c r="H67" s="7">
        <v>611.66999999999996</v>
      </c>
      <c r="I67" s="13">
        <v>581244</v>
      </c>
      <c r="J67" s="20">
        <v>0</v>
      </c>
      <c r="K67" s="20">
        <f t="shared" si="1"/>
        <v>611.66999999999996</v>
      </c>
      <c r="L67" s="1"/>
    </row>
    <row r="68" spans="1:12" x14ac:dyDescent="0.25">
      <c r="A68" s="19">
        <v>42434</v>
      </c>
      <c r="B68" s="8" t="s">
        <v>229</v>
      </c>
      <c r="C68" s="8" t="s">
        <v>230</v>
      </c>
      <c r="D68" s="9" t="s">
        <v>93</v>
      </c>
      <c r="E68" s="7">
        <v>1481.32</v>
      </c>
      <c r="F68" s="7">
        <v>0</v>
      </c>
      <c r="G68" s="7">
        <v>0</v>
      </c>
      <c r="H68" s="7">
        <v>1481.32</v>
      </c>
      <c r="I68" s="13">
        <v>581594</v>
      </c>
      <c r="J68" s="20">
        <v>0</v>
      </c>
      <c r="K68" s="20">
        <f t="shared" si="1"/>
        <v>1481.32</v>
      </c>
      <c r="L68" s="1"/>
    </row>
    <row r="69" spans="1:12" x14ac:dyDescent="0.25">
      <c r="A69" s="19">
        <v>42434</v>
      </c>
      <c r="B69" s="8" t="s">
        <v>231</v>
      </c>
      <c r="C69" s="8" t="s">
        <v>232</v>
      </c>
      <c r="D69" s="9" t="s">
        <v>83</v>
      </c>
      <c r="E69" s="7">
        <v>3616.01</v>
      </c>
      <c r="F69" s="7">
        <v>0</v>
      </c>
      <c r="G69" s="7">
        <v>0</v>
      </c>
      <c r="H69" s="7">
        <v>3616.01</v>
      </c>
      <c r="I69" s="13">
        <v>581493</v>
      </c>
      <c r="J69" s="20">
        <v>0</v>
      </c>
      <c r="K69" s="20">
        <f t="shared" si="1"/>
        <v>3616.01</v>
      </c>
      <c r="L69" s="1"/>
    </row>
    <row r="70" spans="1:12" x14ac:dyDescent="0.25">
      <c r="A70" s="19">
        <v>42436</v>
      </c>
      <c r="B70" s="8" t="s">
        <v>231</v>
      </c>
      <c r="C70" s="8" t="s">
        <v>232</v>
      </c>
      <c r="D70" s="9" t="s">
        <v>83</v>
      </c>
      <c r="E70" s="7">
        <v>571.35</v>
      </c>
      <c r="F70" s="7">
        <v>0</v>
      </c>
      <c r="G70" s="7">
        <v>68.56</v>
      </c>
      <c r="H70" s="7">
        <v>639.91</v>
      </c>
      <c r="I70" s="13">
        <v>581494</v>
      </c>
      <c r="J70" s="20">
        <v>0</v>
      </c>
      <c r="K70" s="20">
        <f t="shared" si="1"/>
        <v>639.91</v>
      </c>
      <c r="L70" s="1"/>
    </row>
    <row r="71" spans="1:12" x14ac:dyDescent="0.25">
      <c r="A71" s="19">
        <v>42436</v>
      </c>
      <c r="B71" s="8" t="s">
        <v>231</v>
      </c>
      <c r="C71" s="8" t="s">
        <v>232</v>
      </c>
      <c r="D71" s="9" t="s">
        <v>83</v>
      </c>
      <c r="E71" s="7">
        <v>2734.7</v>
      </c>
      <c r="F71" s="7">
        <v>0</v>
      </c>
      <c r="G71" s="7">
        <v>67.709999999999994</v>
      </c>
      <c r="H71" s="7">
        <v>2802.41</v>
      </c>
      <c r="I71" s="13">
        <v>581874</v>
      </c>
      <c r="J71" s="20">
        <v>0</v>
      </c>
      <c r="K71" s="20">
        <f t="shared" si="1"/>
        <v>2802.41</v>
      </c>
      <c r="L71" s="1"/>
    </row>
    <row r="72" spans="1:12" x14ac:dyDescent="0.25">
      <c r="A72" s="19">
        <v>42436</v>
      </c>
      <c r="B72" s="8" t="s">
        <v>231</v>
      </c>
      <c r="C72" s="8" t="s">
        <v>232</v>
      </c>
      <c r="D72" s="9" t="s">
        <v>83</v>
      </c>
      <c r="E72" s="7">
        <v>189.93</v>
      </c>
      <c r="F72" s="7">
        <v>0</v>
      </c>
      <c r="G72" s="7">
        <v>0</v>
      </c>
      <c r="H72" s="7">
        <v>189.93</v>
      </c>
      <c r="I72" s="13">
        <v>581875</v>
      </c>
      <c r="J72" s="20">
        <v>0</v>
      </c>
      <c r="K72" s="20">
        <f t="shared" ref="K72:K103" si="2">H72-J72</f>
        <v>189.93</v>
      </c>
      <c r="L72" s="1"/>
    </row>
    <row r="73" spans="1:12" x14ac:dyDescent="0.25">
      <c r="A73" s="19">
        <v>42436</v>
      </c>
      <c r="B73" s="8" t="s">
        <v>233</v>
      </c>
      <c r="C73" s="8" t="s">
        <v>236</v>
      </c>
      <c r="D73" s="9" t="s">
        <v>28</v>
      </c>
      <c r="E73" s="25">
        <v>713.07</v>
      </c>
      <c r="F73" s="25">
        <v>0</v>
      </c>
      <c r="G73" s="25">
        <v>58.69</v>
      </c>
      <c r="H73" s="25">
        <v>771.76</v>
      </c>
      <c r="I73" s="13">
        <v>581137</v>
      </c>
      <c r="J73" s="20">
        <v>0</v>
      </c>
      <c r="K73" s="20">
        <f t="shared" si="2"/>
        <v>771.76</v>
      </c>
      <c r="L73" s="1"/>
    </row>
    <row r="74" spans="1:12" x14ac:dyDescent="0.25">
      <c r="A74" s="19">
        <v>42436</v>
      </c>
      <c r="B74" s="8" t="s">
        <v>233</v>
      </c>
      <c r="C74" s="8" t="s">
        <v>236</v>
      </c>
      <c r="D74" s="9" t="s">
        <v>28</v>
      </c>
      <c r="E74" s="7">
        <v>1480.17</v>
      </c>
      <c r="F74" s="7">
        <v>0</v>
      </c>
      <c r="G74" s="7">
        <v>0</v>
      </c>
      <c r="H74" s="7">
        <v>1480.17</v>
      </c>
      <c r="I74" s="13">
        <v>581316</v>
      </c>
      <c r="J74" s="20">
        <v>0</v>
      </c>
      <c r="K74" s="20">
        <f t="shared" si="2"/>
        <v>1480.17</v>
      </c>
      <c r="L74" s="1"/>
    </row>
    <row r="75" spans="1:12" x14ac:dyDescent="0.25">
      <c r="A75" s="19">
        <v>42436</v>
      </c>
      <c r="B75" s="8" t="s">
        <v>234</v>
      </c>
      <c r="C75" s="8" t="s">
        <v>235</v>
      </c>
      <c r="D75" s="9" t="s">
        <v>68</v>
      </c>
      <c r="E75" s="7">
        <v>1475.8</v>
      </c>
      <c r="F75" s="7">
        <v>0</v>
      </c>
      <c r="G75" s="7">
        <v>0</v>
      </c>
      <c r="H75" s="7">
        <v>1475.8</v>
      </c>
      <c r="I75" s="13">
        <v>581218</v>
      </c>
      <c r="J75" s="20">
        <v>0</v>
      </c>
      <c r="K75" s="20">
        <f t="shared" si="2"/>
        <v>1475.8</v>
      </c>
      <c r="L75" s="1"/>
    </row>
    <row r="76" spans="1:12" x14ac:dyDescent="0.25">
      <c r="A76" s="19">
        <v>42436</v>
      </c>
      <c r="B76" s="8" t="s">
        <v>237</v>
      </c>
      <c r="C76" s="8" t="s">
        <v>238</v>
      </c>
      <c r="D76" s="9" t="s">
        <v>122</v>
      </c>
      <c r="E76" s="7">
        <v>2359.63</v>
      </c>
      <c r="F76" s="7">
        <v>0</v>
      </c>
      <c r="G76" s="7">
        <v>0</v>
      </c>
      <c r="H76" s="7">
        <v>2359.63</v>
      </c>
      <c r="I76" s="13">
        <v>582032</v>
      </c>
      <c r="J76" s="20">
        <v>0</v>
      </c>
      <c r="K76" s="20">
        <f t="shared" si="2"/>
        <v>2359.63</v>
      </c>
      <c r="L76" s="1"/>
    </row>
    <row r="77" spans="1:12" x14ac:dyDescent="0.25">
      <c r="A77" s="19">
        <v>42436</v>
      </c>
      <c r="B77" s="8" t="s">
        <v>239</v>
      </c>
      <c r="C77" s="8" t="s">
        <v>240</v>
      </c>
      <c r="D77" s="9" t="s">
        <v>146</v>
      </c>
      <c r="E77" s="7">
        <v>640</v>
      </c>
      <c r="F77" s="7">
        <v>0</v>
      </c>
      <c r="G77" s="7">
        <v>0</v>
      </c>
      <c r="H77" s="7">
        <v>640</v>
      </c>
      <c r="I77" s="13">
        <v>582600</v>
      </c>
      <c r="J77" s="20">
        <v>0</v>
      </c>
      <c r="K77" s="20">
        <f t="shared" si="2"/>
        <v>640</v>
      </c>
      <c r="L77" s="1"/>
    </row>
    <row r="78" spans="1:12" x14ac:dyDescent="0.25">
      <c r="A78" s="19">
        <v>42436</v>
      </c>
      <c r="B78" s="8" t="s">
        <v>241</v>
      </c>
      <c r="C78" s="8" t="s">
        <v>242</v>
      </c>
      <c r="D78" s="9" t="s">
        <v>136</v>
      </c>
      <c r="E78" s="7">
        <v>250</v>
      </c>
      <c r="F78" s="7">
        <v>0</v>
      </c>
      <c r="G78" s="7">
        <v>30</v>
      </c>
      <c r="H78" s="7">
        <v>280</v>
      </c>
      <c r="I78" s="13">
        <v>582333</v>
      </c>
      <c r="J78" s="20">
        <v>0</v>
      </c>
      <c r="K78" s="20">
        <f t="shared" si="2"/>
        <v>280</v>
      </c>
      <c r="L78" s="1"/>
    </row>
    <row r="79" spans="1:12" x14ac:dyDescent="0.25">
      <c r="A79" s="19">
        <v>42436</v>
      </c>
      <c r="B79" s="8" t="s">
        <v>243</v>
      </c>
      <c r="C79" s="8" t="s">
        <v>244</v>
      </c>
      <c r="D79" s="9" t="s">
        <v>90</v>
      </c>
      <c r="E79" s="7">
        <v>1671.36</v>
      </c>
      <c r="F79" s="7">
        <v>0</v>
      </c>
      <c r="G79" s="7">
        <v>0</v>
      </c>
      <c r="H79" s="7">
        <v>1671.36</v>
      </c>
      <c r="I79" s="13">
        <v>581525</v>
      </c>
      <c r="J79" s="20">
        <v>0</v>
      </c>
      <c r="K79" s="20">
        <f t="shared" si="2"/>
        <v>1671.36</v>
      </c>
      <c r="L79" s="1"/>
    </row>
    <row r="80" spans="1:12" x14ac:dyDescent="0.25">
      <c r="A80" s="19">
        <v>42436</v>
      </c>
      <c r="B80" s="8" t="s">
        <v>245</v>
      </c>
      <c r="C80" s="8" t="s">
        <v>246</v>
      </c>
      <c r="D80" s="9" t="s">
        <v>49</v>
      </c>
      <c r="E80" s="7">
        <v>1083.48</v>
      </c>
      <c r="F80" s="7">
        <v>0</v>
      </c>
      <c r="G80" s="7">
        <v>0</v>
      </c>
      <c r="H80" s="7">
        <v>1083.48</v>
      </c>
      <c r="I80" s="13">
        <v>581033</v>
      </c>
      <c r="J80" s="20">
        <v>0</v>
      </c>
      <c r="K80" s="20">
        <f t="shared" si="2"/>
        <v>1083.48</v>
      </c>
      <c r="L80" s="1"/>
    </row>
    <row r="81" spans="1:12" x14ac:dyDescent="0.25">
      <c r="A81" s="19">
        <v>42436</v>
      </c>
      <c r="B81" s="8" t="s">
        <v>247</v>
      </c>
      <c r="C81" s="8" t="s">
        <v>248</v>
      </c>
      <c r="D81" s="9" t="s">
        <v>22</v>
      </c>
      <c r="E81" s="7">
        <v>2344.81</v>
      </c>
      <c r="F81" s="7">
        <v>0</v>
      </c>
      <c r="G81" s="7">
        <v>0</v>
      </c>
      <c r="H81" s="7">
        <v>2374.81</v>
      </c>
      <c r="I81" s="13">
        <v>581278</v>
      </c>
      <c r="J81" s="20">
        <v>0</v>
      </c>
      <c r="K81" s="20">
        <f t="shared" si="2"/>
        <v>2374.81</v>
      </c>
      <c r="L81" s="1"/>
    </row>
    <row r="82" spans="1:12" x14ac:dyDescent="0.25">
      <c r="A82" s="19">
        <v>42436</v>
      </c>
      <c r="B82" s="8" t="s">
        <v>249</v>
      </c>
      <c r="C82" s="8" t="s">
        <v>250</v>
      </c>
      <c r="D82" s="9" t="s">
        <v>54</v>
      </c>
      <c r="E82" s="7">
        <v>1524.27</v>
      </c>
      <c r="F82" s="7">
        <v>0</v>
      </c>
      <c r="G82" s="7">
        <v>0</v>
      </c>
      <c r="H82" s="7">
        <v>1524.27</v>
      </c>
      <c r="I82" s="13">
        <v>581050</v>
      </c>
      <c r="J82" s="20">
        <v>0</v>
      </c>
      <c r="K82" s="20">
        <f t="shared" si="2"/>
        <v>1524.27</v>
      </c>
      <c r="L82" s="1"/>
    </row>
    <row r="83" spans="1:12" x14ac:dyDescent="0.25">
      <c r="A83" s="19">
        <v>42436</v>
      </c>
      <c r="B83" s="8" t="s">
        <v>249</v>
      </c>
      <c r="C83" s="8" t="s">
        <v>250</v>
      </c>
      <c r="D83" s="9" t="s">
        <v>54</v>
      </c>
      <c r="E83" s="7">
        <v>4511.1099999999997</v>
      </c>
      <c r="F83" s="7">
        <v>0</v>
      </c>
      <c r="G83" s="7">
        <v>0</v>
      </c>
      <c r="H83" s="7">
        <v>4511.1099999999997</v>
      </c>
      <c r="I83" s="13">
        <v>581954</v>
      </c>
      <c r="J83" s="20">
        <v>0</v>
      </c>
      <c r="K83" s="20">
        <f t="shared" si="2"/>
        <v>4511.1099999999997</v>
      </c>
      <c r="L83" s="1"/>
    </row>
    <row r="84" spans="1:12" x14ac:dyDescent="0.25">
      <c r="A84" s="19">
        <v>42437</v>
      </c>
      <c r="B84" s="8" t="s">
        <v>249</v>
      </c>
      <c r="C84" s="8" t="s">
        <v>250</v>
      </c>
      <c r="D84" s="9" t="s">
        <v>54</v>
      </c>
      <c r="E84" s="7">
        <v>1959.63</v>
      </c>
      <c r="F84" s="7">
        <v>0</v>
      </c>
      <c r="G84" s="7">
        <v>0</v>
      </c>
      <c r="H84" s="7">
        <v>1959.63</v>
      </c>
      <c r="I84" s="13">
        <v>582506</v>
      </c>
      <c r="J84" s="20">
        <v>0</v>
      </c>
      <c r="K84" s="20">
        <f t="shared" si="2"/>
        <v>1959.63</v>
      </c>
      <c r="L84" s="1"/>
    </row>
    <row r="85" spans="1:12" x14ac:dyDescent="0.25">
      <c r="A85" s="19">
        <v>42437</v>
      </c>
      <c r="B85" s="8" t="s">
        <v>251</v>
      </c>
      <c r="C85" s="8" t="s">
        <v>252</v>
      </c>
      <c r="D85" s="9" t="s">
        <v>119</v>
      </c>
      <c r="E85" s="7">
        <v>1480.66</v>
      </c>
      <c r="F85" s="7">
        <v>0</v>
      </c>
      <c r="G85" s="7">
        <v>0</v>
      </c>
      <c r="H85" s="7">
        <v>1480.66</v>
      </c>
      <c r="I85" s="13">
        <v>581971</v>
      </c>
      <c r="J85" s="20">
        <v>0</v>
      </c>
      <c r="K85" s="20">
        <f t="shared" si="2"/>
        <v>1480.66</v>
      </c>
      <c r="L85" s="1"/>
    </row>
    <row r="86" spans="1:12" x14ac:dyDescent="0.25">
      <c r="A86" s="19">
        <v>42437</v>
      </c>
      <c r="B86" s="8" t="s">
        <v>253</v>
      </c>
      <c r="C86" s="8" t="s">
        <v>254</v>
      </c>
      <c r="D86" s="9" t="s">
        <v>99</v>
      </c>
      <c r="E86" s="7">
        <v>1355.92</v>
      </c>
      <c r="F86" s="7">
        <v>0</v>
      </c>
      <c r="G86" s="7">
        <v>0</v>
      </c>
      <c r="H86" s="7">
        <v>1355.92</v>
      </c>
      <c r="I86" s="13" t="s">
        <v>100</v>
      </c>
      <c r="J86" s="20">
        <v>0</v>
      </c>
      <c r="K86" s="20">
        <f t="shared" si="2"/>
        <v>1355.92</v>
      </c>
      <c r="L86" s="1"/>
    </row>
    <row r="87" spans="1:12" x14ac:dyDescent="0.25">
      <c r="A87" s="19">
        <v>42437</v>
      </c>
      <c r="B87" s="8" t="s">
        <v>255</v>
      </c>
      <c r="C87" s="8" t="s">
        <v>256</v>
      </c>
      <c r="D87" s="9" t="s">
        <v>138</v>
      </c>
      <c r="E87" s="7">
        <v>1380.64</v>
      </c>
      <c r="F87" s="7">
        <v>0</v>
      </c>
      <c r="G87" s="7">
        <v>0</v>
      </c>
      <c r="H87" s="7">
        <v>1380.64</v>
      </c>
      <c r="I87" s="13">
        <v>582410</v>
      </c>
      <c r="J87" s="20">
        <v>0</v>
      </c>
      <c r="K87" s="20">
        <f t="shared" si="2"/>
        <v>1380.64</v>
      </c>
      <c r="L87" s="1"/>
    </row>
    <row r="88" spans="1:12" x14ac:dyDescent="0.25">
      <c r="A88" s="19">
        <v>42437</v>
      </c>
      <c r="B88" s="8" t="s">
        <v>257</v>
      </c>
      <c r="C88" s="8" t="s">
        <v>258</v>
      </c>
      <c r="D88" s="9" t="s">
        <v>81</v>
      </c>
      <c r="E88" s="7">
        <v>517.86</v>
      </c>
      <c r="F88" s="7">
        <v>0</v>
      </c>
      <c r="G88" s="7">
        <v>62.14</v>
      </c>
      <c r="H88" s="7">
        <v>580</v>
      </c>
      <c r="I88" s="13">
        <v>581456</v>
      </c>
      <c r="J88" s="20">
        <v>0</v>
      </c>
      <c r="K88" s="20">
        <f t="shared" si="2"/>
        <v>580</v>
      </c>
      <c r="L88" s="1"/>
    </row>
    <row r="89" spans="1:12" x14ac:dyDescent="0.25">
      <c r="A89" s="19">
        <v>42437</v>
      </c>
      <c r="B89" s="8" t="s">
        <v>257</v>
      </c>
      <c r="C89" s="8" t="s">
        <v>258</v>
      </c>
      <c r="D89" s="9" t="s">
        <v>81</v>
      </c>
      <c r="E89" s="7">
        <v>768.08</v>
      </c>
      <c r="F89" s="7">
        <v>0</v>
      </c>
      <c r="G89" s="7">
        <v>92.17</v>
      </c>
      <c r="H89" s="7">
        <v>860.25</v>
      </c>
      <c r="I89" s="13">
        <v>581593</v>
      </c>
      <c r="J89" s="20">
        <v>0</v>
      </c>
      <c r="K89" s="20">
        <f t="shared" si="2"/>
        <v>860.25</v>
      </c>
      <c r="L89" s="1"/>
    </row>
    <row r="90" spans="1:12" x14ac:dyDescent="0.25">
      <c r="A90" s="19">
        <v>42437</v>
      </c>
      <c r="B90" s="8" t="s">
        <v>259</v>
      </c>
      <c r="C90" s="8" t="s">
        <v>260</v>
      </c>
      <c r="D90" s="9" t="s">
        <v>45</v>
      </c>
      <c r="E90" s="7">
        <v>2331.04</v>
      </c>
      <c r="F90" s="7">
        <v>0</v>
      </c>
      <c r="G90" s="7">
        <v>0</v>
      </c>
      <c r="H90" s="7">
        <v>2331.04</v>
      </c>
      <c r="I90" s="13">
        <v>581018</v>
      </c>
      <c r="J90" s="20">
        <v>0</v>
      </c>
      <c r="K90" s="20">
        <f t="shared" si="2"/>
        <v>2331.04</v>
      </c>
      <c r="L90" s="1"/>
    </row>
    <row r="91" spans="1:12" x14ac:dyDescent="0.25">
      <c r="A91" s="19">
        <v>42437</v>
      </c>
      <c r="B91" s="8" t="s">
        <v>259</v>
      </c>
      <c r="C91" s="8" t="s">
        <v>260</v>
      </c>
      <c r="D91" s="9" t="s">
        <v>45</v>
      </c>
      <c r="E91" s="7">
        <v>375</v>
      </c>
      <c r="F91" s="7">
        <v>0</v>
      </c>
      <c r="G91" s="7">
        <v>45</v>
      </c>
      <c r="H91" s="7">
        <v>420</v>
      </c>
      <c r="I91" s="13">
        <v>581019</v>
      </c>
      <c r="J91" s="20">
        <v>0</v>
      </c>
      <c r="K91" s="20">
        <f t="shared" si="2"/>
        <v>420</v>
      </c>
      <c r="L91" s="1"/>
    </row>
    <row r="92" spans="1:12" x14ac:dyDescent="0.25">
      <c r="A92" s="19">
        <v>42437</v>
      </c>
      <c r="B92" s="8" t="s">
        <v>262</v>
      </c>
      <c r="C92" s="8" t="s">
        <v>263</v>
      </c>
      <c r="D92" s="9" t="s">
        <v>132</v>
      </c>
      <c r="E92" s="7">
        <v>496.87</v>
      </c>
      <c r="F92" s="7">
        <v>0</v>
      </c>
      <c r="G92" s="7">
        <v>0</v>
      </c>
      <c r="H92" s="7">
        <v>496.87</v>
      </c>
      <c r="I92" s="13">
        <v>582233</v>
      </c>
      <c r="J92" s="20">
        <v>0</v>
      </c>
      <c r="K92" s="20">
        <f t="shared" si="2"/>
        <v>496.87</v>
      </c>
      <c r="L92" s="1"/>
    </row>
    <row r="93" spans="1:12" x14ac:dyDescent="0.25">
      <c r="A93" s="19">
        <v>42437</v>
      </c>
      <c r="B93" s="8" t="s">
        <v>262</v>
      </c>
      <c r="C93" s="8" t="s">
        <v>263</v>
      </c>
      <c r="D93" s="9" t="s">
        <v>132</v>
      </c>
      <c r="E93" s="7">
        <v>756.18</v>
      </c>
      <c r="F93" s="7">
        <v>0</v>
      </c>
      <c r="G93" s="7">
        <v>0</v>
      </c>
      <c r="H93" s="7">
        <v>756.18</v>
      </c>
      <c r="I93" s="13">
        <v>582234</v>
      </c>
      <c r="J93" s="20">
        <v>0</v>
      </c>
      <c r="K93" s="20">
        <f t="shared" si="2"/>
        <v>756.18</v>
      </c>
      <c r="L93" s="1"/>
    </row>
    <row r="94" spans="1:12" x14ac:dyDescent="0.25">
      <c r="A94" s="19">
        <v>42437</v>
      </c>
      <c r="B94" s="8" t="s">
        <v>264</v>
      </c>
      <c r="C94" s="8" t="s">
        <v>261</v>
      </c>
      <c r="D94" s="9" t="s">
        <v>52</v>
      </c>
      <c r="E94" s="7">
        <v>922.18</v>
      </c>
      <c r="F94" s="7">
        <v>0</v>
      </c>
      <c r="G94" s="7">
        <v>0</v>
      </c>
      <c r="H94" s="7">
        <v>922.18</v>
      </c>
      <c r="I94" s="13">
        <v>581042</v>
      </c>
      <c r="J94" s="20">
        <v>0</v>
      </c>
      <c r="K94" s="20">
        <f t="shared" si="2"/>
        <v>922.18</v>
      </c>
      <c r="L94" s="1"/>
    </row>
    <row r="95" spans="1:12" x14ac:dyDescent="0.25">
      <c r="A95" s="19">
        <v>42437</v>
      </c>
      <c r="B95" s="8" t="s">
        <v>264</v>
      </c>
      <c r="C95" s="8" t="s">
        <v>261</v>
      </c>
      <c r="D95" s="9" t="s">
        <v>52</v>
      </c>
      <c r="E95" s="7">
        <v>1327.68</v>
      </c>
      <c r="F95" s="7">
        <v>0</v>
      </c>
      <c r="G95" s="7">
        <v>159.32</v>
      </c>
      <c r="H95" s="7">
        <v>1487</v>
      </c>
      <c r="I95" s="13">
        <v>581045</v>
      </c>
      <c r="J95" s="20">
        <v>0</v>
      </c>
      <c r="K95" s="20">
        <f t="shared" si="2"/>
        <v>1487</v>
      </c>
      <c r="L95" s="1"/>
    </row>
    <row r="96" spans="1:12" x14ac:dyDescent="0.25">
      <c r="A96" s="19">
        <v>42438</v>
      </c>
      <c r="B96" s="8" t="s">
        <v>264</v>
      </c>
      <c r="C96" s="8" t="s">
        <v>261</v>
      </c>
      <c r="D96" s="9" t="s">
        <v>52</v>
      </c>
      <c r="E96" s="7">
        <v>275.2</v>
      </c>
      <c r="F96" s="7">
        <v>0</v>
      </c>
      <c r="G96" s="7">
        <v>0</v>
      </c>
      <c r="H96" s="7">
        <v>275.2</v>
      </c>
      <c r="I96" s="13">
        <v>581429</v>
      </c>
      <c r="J96" s="20">
        <v>0</v>
      </c>
      <c r="K96" s="20">
        <f t="shared" si="2"/>
        <v>275.2</v>
      </c>
      <c r="L96" s="1"/>
    </row>
    <row r="97" spans="1:12" x14ac:dyDescent="0.25">
      <c r="A97" s="19">
        <v>42438</v>
      </c>
      <c r="B97" s="8" t="s">
        <v>265</v>
      </c>
      <c r="C97" s="8" t="s">
        <v>214</v>
      </c>
      <c r="D97" s="9" t="s">
        <v>62</v>
      </c>
      <c r="E97" s="25">
        <v>1817.67</v>
      </c>
      <c r="F97" s="25">
        <v>0</v>
      </c>
      <c r="G97" s="25">
        <v>191.24</v>
      </c>
      <c r="H97" s="25">
        <v>2008.91</v>
      </c>
      <c r="I97" s="13">
        <v>581130</v>
      </c>
      <c r="J97" s="20">
        <v>0</v>
      </c>
      <c r="K97" s="20">
        <f t="shared" si="2"/>
        <v>2008.91</v>
      </c>
      <c r="L97" s="1"/>
    </row>
    <row r="98" spans="1:12" x14ac:dyDescent="0.25">
      <c r="A98" s="19">
        <v>42438</v>
      </c>
      <c r="B98" s="8" t="s">
        <v>266</v>
      </c>
      <c r="C98" s="8" t="s">
        <v>267</v>
      </c>
      <c r="D98" s="9" t="s">
        <v>94</v>
      </c>
      <c r="E98" s="7">
        <v>2185.92</v>
      </c>
      <c r="F98" s="7">
        <v>0</v>
      </c>
      <c r="G98" s="7">
        <v>0</v>
      </c>
      <c r="H98" s="7">
        <v>2185.92</v>
      </c>
      <c r="I98" s="13">
        <v>581603</v>
      </c>
      <c r="J98" s="20">
        <v>0</v>
      </c>
      <c r="K98" s="20">
        <f t="shared" si="2"/>
        <v>2185.92</v>
      </c>
      <c r="L98" s="1"/>
    </row>
    <row r="99" spans="1:12" x14ac:dyDescent="0.25">
      <c r="A99" s="19">
        <v>42438</v>
      </c>
      <c r="B99" s="8" t="s">
        <v>268</v>
      </c>
      <c r="C99" s="8" t="s">
        <v>269</v>
      </c>
      <c r="D99" s="9" t="s">
        <v>26</v>
      </c>
      <c r="E99" s="7">
        <v>892.45</v>
      </c>
      <c r="F99" s="7">
        <v>0</v>
      </c>
      <c r="G99" s="7">
        <v>0</v>
      </c>
      <c r="H99" s="7">
        <v>892.45</v>
      </c>
      <c r="I99" s="13">
        <v>581300</v>
      </c>
      <c r="J99" s="20">
        <v>0</v>
      </c>
      <c r="K99" s="20">
        <f t="shared" si="2"/>
        <v>892.45</v>
      </c>
      <c r="L99" s="1"/>
    </row>
    <row r="100" spans="1:12" x14ac:dyDescent="0.25">
      <c r="A100" s="19">
        <v>42438</v>
      </c>
      <c r="B100" s="8" t="s">
        <v>268</v>
      </c>
      <c r="C100" s="8" t="s">
        <v>269</v>
      </c>
      <c r="D100" s="9" t="s">
        <v>26</v>
      </c>
      <c r="E100" s="7">
        <v>505.14</v>
      </c>
      <c r="F100" s="7">
        <v>0</v>
      </c>
      <c r="G100" s="7">
        <v>0</v>
      </c>
      <c r="H100" s="7">
        <v>505.14</v>
      </c>
      <c r="I100" s="13">
        <v>581417</v>
      </c>
      <c r="J100" s="20">
        <v>0</v>
      </c>
      <c r="K100" s="20">
        <f t="shared" si="2"/>
        <v>505.14</v>
      </c>
      <c r="L100" s="1"/>
    </row>
    <row r="101" spans="1:12" x14ac:dyDescent="0.25">
      <c r="A101" s="19">
        <v>42438</v>
      </c>
      <c r="B101" s="8" t="s">
        <v>270</v>
      </c>
      <c r="C101" s="8" t="s">
        <v>271</v>
      </c>
      <c r="D101" s="9" t="s">
        <v>86</v>
      </c>
      <c r="E101" s="7">
        <v>1762.65</v>
      </c>
      <c r="F101" s="7">
        <v>0</v>
      </c>
      <c r="G101" s="7">
        <v>0</v>
      </c>
      <c r="H101" s="7">
        <v>1762.65</v>
      </c>
      <c r="I101" s="13">
        <v>581507</v>
      </c>
      <c r="J101" s="20">
        <v>0</v>
      </c>
      <c r="K101" s="20">
        <f t="shared" si="2"/>
        <v>1762.65</v>
      </c>
      <c r="L101" s="1"/>
    </row>
    <row r="102" spans="1:12" x14ac:dyDescent="0.25">
      <c r="A102" s="19">
        <v>42438</v>
      </c>
      <c r="B102" s="8" t="s">
        <v>272</v>
      </c>
      <c r="C102" s="8" t="s">
        <v>273</v>
      </c>
      <c r="D102" s="9" t="s">
        <v>108</v>
      </c>
      <c r="E102" s="7">
        <v>861.35</v>
      </c>
      <c r="F102" s="7">
        <v>0</v>
      </c>
      <c r="G102" s="7">
        <v>0</v>
      </c>
      <c r="H102" s="7">
        <v>861.35</v>
      </c>
      <c r="I102" s="13">
        <v>581768</v>
      </c>
      <c r="J102" s="20">
        <v>0</v>
      </c>
      <c r="K102" s="20">
        <f t="shared" si="2"/>
        <v>861.35</v>
      </c>
      <c r="L102" s="1"/>
    </row>
    <row r="103" spans="1:12" x14ac:dyDescent="0.25">
      <c r="A103" s="19">
        <v>42438</v>
      </c>
      <c r="B103" s="8" t="s">
        <v>272</v>
      </c>
      <c r="C103" s="8" t="s">
        <v>273</v>
      </c>
      <c r="D103" s="9" t="s">
        <v>108</v>
      </c>
      <c r="E103" s="7">
        <v>407.4</v>
      </c>
      <c r="F103" s="7">
        <v>0</v>
      </c>
      <c r="G103" s="7">
        <v>0</v>
      </c>
      <c r="H103" s="7">
        <v>407.4</v>
      </c>
      <c r="I103" s="13">
        <v>582583</v>
      </c>
      <c r="J103" s="20">
        <v>0</v>
      </c>
      <c r="K103" s="20">
        <f t="shared" si="2"/>
        <v>407.4</v>
      </c>
      <c r="L103" s="1"/>
    </row>
    <row r="104" spans="1:12" x14ac:dyDescent="0.25">
      <c r="A104" s="19">
        <v>42438</v>
      </c>
      <c r="B104" s="8" t="s">
        <v>274</v>
      </c>
      <c r="C104" s="8" t="s">
        <v>275</v>
      </c>
      <c r="D104" s="9" t="s">
        <v>35</v>
      </c>
      <c r="E104" s="7">
        <v>2822.51</v>
      </c>
      <c r="F104" s="7">
        <v>0</v>
      </c>
      <c r="G104" s="7">
        <v>113.1</v>
      </c>
      <c r="H104" s="7">
        <v>2935.61</v>
      </c>
      <c r="I104" s="13">
        <v>581365</v>
      </c>
      <c r="J104" s="20">
        <v>0</v>
      </c>
      <c r="K104" s="20">
        <f t="shared" ref="K104:K135" si="3">H104-J104</f>
        <v>2935.61</v>
      </c>
      <c r="L104" s="1"/>
    </row>
    <row r="105" spans="1:12" x14ac:dyDescent="0.25">
      <c r="A105" s="19">
        <v>42438</v>
      </c>
      <c r="B105" s="8" t="s">
        <v>276</v>
      </c>
      <c r="C105" s="8" t="s">
        <v>277</v>
      </c>
      <c r="D105" s="9" t="s">
        <v>66</v>
      </c>
      <c r="E105" s="7">
        <v>1500.52</v>
      </c>
      <c r="F105" s="7">
        <v>0</v>
      </c>
      <c r="G105" s="7">
        <v>110.01</v>
      </c>
      <c r="H105" s="7">
        <v>1610.53</v>
      </c>
      <c r="I105" s="13">
        <v>581208</v>
      </c>
      <c r="J105" s="20">
        <v>0</v>
      </c>
      <c r="K105" s="20">
        <f t="shared" si="3"/>
        <v>1610.53</v>
      </c>
      <c r="L105" s="1"/>
    </row>
    <row r="106" spans="1:12" x14ac:dyDescent="0.25">
      <c r="A106" s="19">
        <v>42438</v>
      </c>
      <c r="B106" s="8" t="s">
        <v>278</v>
      </c>
      <c r="C106" s="8" t="s">
        <v>279</v>
      </c>
      <c r="D106" s="9" t="s">
        <v>96</v>
      </c>
      <c r="E106" s="7">
        <v>1058.3699999999999</v>
      </c>
      <c r="F106" s="7">
        <v>0</v>
      </c>
      <c r="G106" s="7">
        <v>0</v>
      </c>
      <c r="H106" s="7">
        <v>1058.3699999999999</v>
      </c>
      <c r="I106" s="13">
        <v>581644</v>
      </c>
      <c r="J106" s="20">
        <v>0</v>
      </c>
      <c r="K106" s="20">
        <f t="shared" si="3"/>
        <v>1058.3699999999999</v>
      </c>
      <c r="L106" s="1"/>
    </row>
    <row r="107" spans="1:12" x14ac:dyDescent="0.25">
      <c r="A107" s="19">
        <v>42438</v>
      </c>
      <c r="B107" s="8" t="s">
        <v>280</v>
      </c>
      <c r="C107" s="8" t="s">
        <v>281</v>
      </c>
      <c r="D107" s="9" t="s">
        <v>128</v>
      </c>
      <c r="E107" s="7">
        <v>1956.04</v>
      </c>
      <c r="F107" s="7">
        <v>0</v>
      </c>
      <c r="G107" s="7">
        <v>0</v>
      </c>
      <c r="H107" s="7">
        <v>1956.04</v>
      </c>
      <c r="I107" s="13">
        <v>582115</v>
      </c>
      <c r="J107" s="20">
        <v>0</v>
      </c>
      <c r="K107" s="20">
        <f t="shared" si="3"/>
        <v>1956.04</v>
      </c>
      <c r="L107" s="1"/>
    </row>
    <row r="108" spans="1:12" x14ac:dyDescent="0.25">
      <c r="A108" s="19">
        <v>42438</v>
      </c>
      <c r="B108" s="8" t="s">
        <v>282</v>
      </c>
      <c r="C108" s="8" t="s">
        <v>283</v>
      </c>
      <c r="D108" s="27" t="s">
        <v>72</v>
      </c>
      <c r="E108" s="28">
        <v>1072.6099999999999</v>
      </c>
      <c r="F108" s="28">
        <v>0</v>
      </c>
      <c r="G108" s="28">
        <v>0</v>
      </c>
      <c r="H108" s="28">
        <v>1072.6099999999999</v>
      </c>
      <c r="I108" s="29">
        <v>581248</v>
      </c>
      <c r="J108" s="20">
        <v>0</v>
      </c>
      <c r="K108" s="20">
        <f t="shared" si="3"/>
        <v>1072.6099999999999</v>
      </c>
      <c r="L108" s="1"/>
    </row>
    <row r="109" spans="1:12" x14ac:dyDescent="0.25">
      <c r="A109" s="19">
        <v>42439</v>
      </c>
      <c r="B109" s="8" t="s">
        <v>284</v>
      </c>
      <c r="C109" s="8" t="s">
        <v>285</v>
      </c>
      <c r="D109" s="9" t="s">
        <v>78</v>
      </c>
      <c r="E109" s="7">
        <v>1408.6</v>
      </c>
      <c r="F109" s="7">
        <v>0</v>
      </c>
      <c r="G109" s="7">
        <v>0</v>
      </c>
      <c r="H109" s="7">
        <v>1408.6</v>
      </c>
      <c r="I109" s="13">
        <v>581436</v>
      </c>
      <c r="J109" s="26">
        <v>0</v>
      </c>
      <c r="K109" s="20">
        <f t="shared" si="3"/>
        <v>1408.6</v>
      </c>
      <c r="L109" s="1"/>
    </row>
    <row r="110" spans="1:12" x14ac:dyDescent="0.25">
      <c r="A110" s="19">
        <v>42439</v>
      </c>
      <c r="B110" s="8" t="s">
        <v>284</v>
      </c>
      <c r="C110" s="8" t="s">
        <v>285</v>
      </c>
      <c r="D110" s="9" t="s">
        <v>78</v>
      </c>
      <c r="E110" s="7">
        <v>2864.28</v>
      </c>
      <c r="F110" s="7">
        <v>0</v>
      </c>
      <c r="G110" s="7">
        <v>0</v>
      </c>
      <c r="H110" s="7">
        <v>2864.28</v>
      </c>
      <c r="I110" s="13">
        <v>582004</v>
      </c>
      <c r="J110" s="26">
        <v>0</v>
      </c>
      <c r="K110" s="20">
        <f t="shared" si="3"/>
        <v>2864.28</v>
      </c>
      <c r="L110" s="1"/>
    </row>
    <row r="111" spans="1:12" x14ac:dyDescent="0.25">
      <c r="A111" s="19">
        <v>42439</v>
      </c>
      <c r="B111" s="8" t="s">
        <v>284</v>
      </c>
      <c r="C111" s="8" t="s">
        <v>285</v>
      </c>
      <c r="D111" s="9" t="s">
        <v>78</v>
      </c>
      <c r="E111" s="7">
        <v>1365.17</v>
      </c>
      <c r="F111" s="7">
        <v>0</v>
      </c>
      <c r="G111" s="7">
        <v>0</v>
      </c>
      <c r="H111" s="7">
        <v>1365.17</v>
      </c>
      <c r="I111" s="13">
        <v>582585</v>
      </c>
      <c r="J111" s="26">
        <v>0</v>
      </c>
      <c r="K111" s="20">
        <f t="shared" si="3"/>
        <v>1365.17</v>
      </c>
      <c r="L111" s="1"/>
    </row>
    <row r="112" spans="1:12" x14ac:dyDescent="0.25">
      <c r="A112" s="19">
        <v>42439</v>
      </c>
      <c r="B112" s="8" t="s">
        <v>286</v>
      </c>
      <c r="C112" s="8" t="s">
        <v>287</v>
      </c>
      <c r="D112" s="9" t="s">
        <v>58</v>
      </c>
      <c r="E112" s="7">
        <v>1413.47</v>
      </c>
      <c r="F112" s="7">
        <v>0</v>
      </c>
      <c r="G112" s="7">
        <v>0</v>
      </c>
      <c r="H112" s="7">
        <v>1413.47</v>
      </c>
      <c r="I112" s="13">
        <v>581078</v>
      </c>
      <c r="J112" s="26">
        <v>0</v>
      </c>
      <c r="K112" s="20">
        <f t="shared" si="3"/>
        <v>1413.47</v>
      </c>
      <c r="L112" s="1"/>
    </row>
    <row r="113" spans="1:12" x14ac:dyDescent="0.25">
      <c r="A113" s="19">
        <v>42440</v>
      </c>
      <c r="B113" s="8" t="s">
        <v>286</v>
      </c>
      <c r="C113" s="8" t="s">
        <v>287</v>
      </c>
      <c r="D113" s="9" t="s">
        <v>58</v>
      </c>
      <c r="E113" s="7">
        <v>1400.67</v>
      </c>
      <c r="F113" s="7">
        <v>0</v>
      </c>
      <c r="G113" s="7">
        <v>0</v>
      </c>
      <c r="H113" s="7">
        <v>1400.67</v>
      </c>
      <c r="I113" s="13">
        <v>582670</v>
      </c>
      <c r="J113" s="20">
        <v>0</v>
      </c>
      <c r="K113" s="20">
        <f t="shared" si="3"/>
        <v>1400.67</v>
      </c>
      <c r="L113" s="1"/>
    </row>
    <row r="114" spans="1:12" x14ac:dyDescent="0.25">
      <c r="A114" s="19">
        <v>42440</v>
      </c>
      <c r="B114" s="8" t="s">
        <v>288</v>
      </c>
      <c r="C114" s="8" t="s">
        <v>289</v>
      </c>
      <c r="D114" s="9" t="s">
        <v>70</v>
      </c>
      <c r="E114" s="7">
        <v>3460.91</v>
      </c>
      <c r="F114" s="7">
        <v>0</v>
      </c>
      <c r="G114" s="7">
        <v>0</v>
      </c>
      <c r="H114" s="7">
        <v>3460.91</v>
      </c>
      <c r="I114" s="13">
        <v>581235</v>
      </c>
      <c r="J114" s="20">
        <v>0</v>
      </c>
      <c r="K114" s="20">
        <f t="shared" si="3"/>
        <v>3460.91</v>
      </c>
      <c r="L114" s="1"/>
    </row>
    <row r="115" spans="1:12" x14ac:dyDescent="0.25">
      <c r="A115" s="19">
        <v>42440</v>
      </c>
      <c r="B115" s="8" t="s">
        <v>288</v>
      </c>
      <c r="C115" s="8" t="s">
        <v>289</v>
      </c>
      <c r="D115" s="9" t="s">
        <v>70</v>
      </c>
      <c r="E115" s="7">
        <v>1100.31</v>
      </c>
      <c r="F115" s="7">
        <v>0</v>
      </c>
      <c r="G115" s="7">
        <v>61.61</v>
      </c>
      <c r="H115" s="7">
        <v>1161.92</v>
      </c>
      <c r="I115" s="13">
        <v>581236</v>
      </c>
      <c r="J115" s="20">
        <v>0</v>
      </c>
      <c r="K115" s="20">
        <f t="shared" si="3"/>
        <v>1161.92</v>
      </c>
      <c r="L115" s="1"/>
    </row>
    <row r="116" spans="1:12" x14ac:dyDescent="0.25">
      <c r="A116" s="19">
        <v>42440</v>
      </c>
      <c r="B116" s="8" t="s">
        <v>288</v>
      </c>
      <c r="C116" s="8" t="s">
        <v>289</v>
      </c>
      <c r="D116" s="9" t="s">
        <v>70</v>
      </c>
      <c r="E116" s="7">
        <v>2798.95</v>
      </c>
      <c r="F116" s="7">
        <v>0</v>
      </c>
      <c r="G116" s="7">
        <v>278.58</v>
      </c>
      <c r="H116" s="7">
        <v>3077.53</v>
      </c>
      <c r="I116" s="13">
        <v>582657</v>
      </c>
      <c r="J116" s="20">
        <v>0</v>
      </c>
      <c r="K116" s="20">
        <f t="shared" si="3"/>
        <v>3077.53</v>
      </c>
      <c r="L116" s="1"/>
    </row>
    <row r="117" spans="1:12" x14ac:dyDescent="0.25">
      <c r="A117" s="19">
        <v>42440</v>
      </c>
      <c r="B117" s="8" t="s">
        <v>288</v>
      </c>
      <c r="C117" s="8" t="s">
        <v>289</v>
      </c>
      <c r="D117" s="9" t="s">
        <v>70</v>
      </c>
      <c r="E117" s="7">
        <v>685.25</v>
      </c>
      <c r="F117" s="7">
        <v>0</v>
      </c>
      <c r="G117" s="7">
        <v>82.23</v>
      </c>
      <c r="H117" s="7">
        <v>767.48</v>
      </c>
      <c r="I117" s="13">
        <v>582658</v>
      </c>
      <c r="J117" s="20">
        <v>0</v>
      </c>
      <c r="K117" s="20">
        <f t="shared" si="3"/>
        <v>767.48</v>
      </c>
      <c r="L117" s="1"/>
    </row>
    <row r="118" spans="1:12" x14ac:dyDescent="0.25">
      <c r="A118" s="19">
        <v>42440</v>
      </c>
      <c r="B118" s="8" t="s">
        <v>290</v>
      </c>
      <c r="C118" s="8" t="s">
        <v>291</v>
      </c>
      <c r="D118" s="9" t="s">
        <v>29</v>
      </c>
      <c r="E118" s="7">
        <v>640</v>
      </c>
      <c r="F118" s="7">
        <v>0</v>
      </c>
      <c r="G118" s="7">
        <v>0</v>
      </c>
      <c r="H118" s="7">
        <v>640</v>
      </c>
      <c r="I118" s="13">
        <v>581339</v>
      </c>
      <c r="J118" s="20">
        <v>0</v>
      </c>
      <c r="K118" s="20">
        <f t="shared" si="3"/>
        <v>640</v>
      </c>
      <c r="L118" s="1"/>
    </row>
    <row r="119" spans="1:12" x14ac:dyDescent="0.25">
      <c r="A119" s="19">
        <v>42441</v>
      </c>
      <c r="B119" s="8" t="s">
        <v>290</v>
      </c>
      <c r="C119" s="8" t="s">
        <v>291</v>
      </c>
      <c r="D119" s="30" t="s">
        <v>29</v>
      </c>
      <c r="E119" s="31">
        <v>671.21</v>
      </c>
      <c r="F119" s="31">
        <v>0</v>
      </c>
      <c r="G119" s="31">
        <v>0</v>
      </c>
      <c r="H119" s="31">
        <v>671.21</v>
      </c>
      <c r="I119" s="32">
        <v>582100</v>
      </c>
      <c r="J119" s="20">
        <v>0</v>
      </c>
      <c r="K119" s="20">
        <f t="shared" si="3"/>
        <v>671.21</v>
      </c>
      <c r="L119" s="1"/>
    </row>
    <row r="120" spans="1:12" x14ac:dyDescent="0.25">
      <c r="A120" s="19">
        <v>42443</v>
      </c>
      <c r="B120" s="8" t="s">
        <v>290</v>
      </c>
      <c r="C120" s="8" t="s">
        <v>291</v>
      </c>
      <c r="D120" s="9" t="s">
        <v>29</v>
      </c>
      <c r="E120" s="7">
        <v>1176.3599999999999</v>
      </c>
      <c r="F120" s="7">
        <v>0</v>
      </c>
      <c r="G120" s="7">
        <v>0</v>
      </c>
      <c r="H120" s="7">
        <v>1176.3599999999999</v>
      </c>
      <c r="I120" s="13">
        <v>582525</v>
      </c>
      <c r="J120" s="20">
        <v>0</v>
      </c>
      <c r="K120" s="20">
        <f t="shared" si="3"/>
        <v>1176.3599999999999</v>
      </c>
      <c r="L120" s="1"/>
    </row>
    <row r="121" spans="1:12" x14ac:dyDescent="0.25">
      <c r="A121" s="19">
        <v>42443</v>
      </c>
      <c r="B121" s="8" t="s">
        <v>290</v>
      </c>
      <c r="C121" s="8" t="s">
        <v>291</v>
      </c>
      <c r="D121" s="9" t="s">
        <v>29</v>
      </c>
      <c r="E121" s="7">
        <v>390</v>
      </c>
      <c r="F121" s="7">
        <v>0</v>
      </c>
      <c r="G121" s="7">
        <v>0</v>
      </c>
      <c r="H121" s="7">
        <v>390</v>
      </c>
      <c r="I121" s="13">
        <v>582613</v>
      </c>
      <c r="J121" s="20">
        <v>0</v>
      </c>
      <c r="K121" s="20">
        <f t="shared" si="3"/>
        <v>390</v>
      </c>
      <c r="L121" s="1"/>
    </row>
    <row r="122" spans="1:12" x14ac:dyDescent="0.25">
      <c r="A122" s="19">
        <v>42443</v>
      </c>
      <c r="B122" s="8" t="s">
        <v>292</v>
      </c>
      <c r="C122" s="8" t="s">
        <v>293</v>
      </c>
      <c r="D122" s="9" t="s">
        <v>102</v>
      </c>
      <c r="E122" s="7">
        <v>1224.06</v>
      </c>
      <c r="F122" s="7">
        <v>0</v>
      </c>
      <c r="G122" s="7">
        <v>0</v>
      </c>
      <c r="H122" s="7">
        <v>1224.06</v>
      </c>
      <c r="I122" s="13">
        <v>581707</v>
      </c>
      <c r="J122" s="20">
        <v>0</v>
      </c>
      <c r="K122" s="20">
        <f t="shared" si="3"/>
        <v>1224.06</v>
      </c>
      <c r="L122" s="1"/>
    </row>
    <row r="123" spans="1:12" x14ac:dyDescent="0.25">
      <c r="A123" s="19">
        <v>42443</v>
      </c>
      <c r="B123" s="8" t="s">
        <v>294</v>
      </c>
      <c r="C123" s="8" t="s">
        <v>295</v>
      </c>
      <c r="D123" s="9" t="s">
        <v>115</v>
      </c>
      <c r="E123" s="7">
        <v>582.86</v>
      </c>
      <c r="F123" s="7">
        <v>0</v>
      </c>
      <c r="G123" s="7">
        <v>69.94</v>
      </c>
      <c r="H123" s="7">
        <v>652.79999999999995</v>
      </c>
      <c r="I123" s="13">
        <v>581879</v>
      </c>
      <c r="J123" s="20">
        <v>0</v>
      </c>
      <c r="K123" s="20">
        <f t="shared" si="3"/>
        <v>652.79999999999995</v>
      </c>
      <c r="L123" s="1"/>
    </row>
    <row r="124" spans="1:12" x14ac:dyDescent="0.25">
      <c r="A124" s="19">
        <v>42443</v>
      </c>
      <c r="B124" s="8" t="s">
        <v>294</v>
      </c>
      <c r="C124" s="8" t="s">
        <v>295</v>
      </c>
      <c r="D124" s="9" t="s">
        <v>115</v>
      </c>
      <c r="E124" s="7">
        <v>726.75</v>
      </c>
      <c r="F124" s="7">
        <v>0</v>
      </c>
      <c r="G124" s="7">
        <v>0</v>
      </c>
      <c r="H124" s="7">
        <v>726.75</v>
      </c>
      <c r="I124" s="13">
        <v>582450</v>
      </c>
      <c r="J124" s="20">
        <v>0</v>
      </c>
      <c r="K124" s="20">
        <f t="shared" si="3"/>
        <v>726.75</v>
      </c>
      <c r="L124" s="1"/>
    </row>
    <row r="125" spans="1:12" x14ac:dyDescent="0.25">
      <c r="A125" s="19">
        <v>42443</v>
      </c>
      <c r="B125" s="8" t="s">
        <v>296</v>
      </c>
      <c r="C125" s="8" t="s">
        <v>297</v>
      </c>
      <c r="D125" s="9" t="s">
        <v>148</v>
      </c>
      <c r="E125" s="7">
        <v>881.29</v>
      </c>
      <c r="F125" s="7">
        <v>0</v>
      </c>
      <c r="G125" s="7">
        <v>0</v>
      </c>
      <c r="H125" s="7">
        <v>881.29</v>
      </c>
      <c r="I125" s="13">
        <v>582625</v>
      </c>
      <c r="J125" s="20">
        <v>0</v>
      </c>
      <c r="K125" s="20">
        <f t="shared" si="3"/>
        <v>881.29</v>
      </c>
      <c r="L125" s="1"/>
    </row>
    <row r="126" spans="1:12" x14ac:dyDescent="0.25">
      <c r="A126" s="19">
        <v>42443</v>
      </c>
      <c r="B126" s="8" t="s">
        <v>298</v>
      </c>
      <c r="C126" s="8" t="s">
        <v>299</v>
      </c>
      <c r="D126" s="9" t="s">
        <v>42</v>
      </c>
      <c r="E126" s="7">
        <v>4871.87</v>
      </c>
      <c r="F126" s="7">
        <v>0</v>
      </c>
      <c r="G126" s="7">
        <v>155.01</v>
      </c>
      <c r="H126" s="7">
        <v>5026.88</v>
      </c>
      <c r="I126" s="13">
        <v>581013</v>
      </c>
      <c r="J126" s="20">
        <v>0</v>
      </c>
      <c r="K126" s="20">
        <f t="shared" si="3"/>
        <v>5026.88</v>
      </c>
      <c r="L126" s="1"/>
    </row>
    <row r="127" spans="1:12" x14ac:dyDescent="0.25">
      <c r="A127" s="19">
        <v>42443</v>
      </c>
      <c r="B127" s="8" t="s">
        <v>300</v>
      </c>
      <c r="C127" s="8" t="s">
        <v>301</v>
      </c>
      <c r="D127" s="9" t="s">
        <v>31</v>
      </c>
      <c r="E127" s="7">
        <v>772.54</v>
      </c>
      <c r="F127" s="7">
        <v>0</v>
      </c>
      <c r="G127" s="7">
        <v>0</v>
      </c>
      <c r="H127" s="7">
        <v>772.54</v>
      </c>
      <c r="I127" s="13">
        <v>581349</v>
      </c>
      <c r="J127" s="20">
        <v>0</v>
      </c>
      <c r="K127" s="20">
        <f t="shared" si="3"/>
        <v>772.54</v>
      </c>
      <c r="L127" s="1"/>
    </row>
    <row r="128" spans="1:12" x14ac:dyDescent="0.25">
      <c r="A128" s="19">
        <v>42443</v>
      </c>
      <c r="B128" s="8" t="s">
        <v>302</v>
      </c>
      <c r="C128" s="8" t="s">
        <v>303</v>
      </c>
      <c r="D128" s="9" t="s">
        <v>121</v>
      </c>
      <c r="E128" s="7">
        <v>638.41</v>
      </c>
      <c r="F128" s="7">
        <v>0</v>
      </c>
      <c r="G128" s="7">
        <v>0</v>
      </c>
      <c r="H128" s="7">
        <v>638.41</v>
      </c>
      <c r="I128" s="13">
        <v>582013</v>
      </c>
      <c r="J128" s="20">
        <v>0</v>
      </c>
      <c r="K128" s="20">
        <f t="shared" si="3"/>
        <v>638.41</v>
      </c>
      <c r="L128" s="1"/>
    </row>
    <row r="129" spans="1:12" x14ac:dyDescent="0.25">
      <c r="A129" s="19">
        <v>42443</v>
      </c>
      <c r="B129" s="8" t="s">
        <v>302</v>
      </c>
      <c r="C129" s="8" t="s">
        <v>303</v>
      </c>
      <c r="D129" s="9" t="s">
        <v>121</v>
      </c>
      <c r="E129" s="7">
        <v>352</v>
      </c>
      <c r="F129" s="7">
        <v>0</v>
      </c>
      <c r="G129" s="7">
        <v>0</v>
      </c>
      <c r="H129" s="7">
        <v>352</v>
      </c>
      <c r="I129" s="13">
        <v>582470</v>
      </c>
      <c r="J129" s="20">
        <v>0</v>
      </c>
      <c r="K129" s="20">
        <f t="shared" si="3"/>
        <v>352</v>
      </c>
      <c r="L129" s="1"/>
    </row>
    <row r="130" spans="1:12" x14ac:dyDescent="0.25">
      <c r="A130" s="19">
        <v>42443</v>
      </c>
      <c r="B130" s="8" t="s">
        <v>304</v>
      </c>
      <c r="C130" s="8" t="s">
        <v>305</v>
      </c>
      <c r="D130" s="9" t="s">
        <v>40</v>
      </c>
      <c r="E130" s="7">
        <v>483</v>
      </c>
      <c r="F130" s="7">
        <v>0</v>
      </c>
      <c r="G130" s="7">
        <v>0</v>
      </c>
      <c r="H130" s="7">
        <v>483</v>
      </c>
      <c r="I130" s="13">
        <v>581008</v>
      </c>
      <c r="J130" s="20">
        <v>0</v>
      </c>
      <c r="K130" s="20">
        <f t="shared" si="3"/>
        <v>483</v>
      </c>
      <c r="L130" s="1"/>
    </row>
    <row r="131" spans="1:12" x14ac:dyDescent="0.25">
      <c r="A131" s="19">
        <v>42444</v>
      </c>
      <c r="B131" s="8" t="s">
        <v>306</v>
      </c>
      <c r="C131" s="8" t="s">
        <v>307</v>
      </c>
      <c r="D131" s="9" t="s">
        <v>135</v>
      </c>
      <c r="E131" s="7">
        <v>832.23</v>
      </c>
      <c r="F131" s="7">
        <v>0</v>
      </c>
      <c r="G131" s="7">
        <v>0</v>
      </c>
      <c r="H131" s="7">
        <v>832.23</v>
      </c>
      <c r="I131" s="13">
        <v>582327</v>
      </c>
      <c r="J131" s="20">
        <v>0</v>
      </c>
      <c r="K131" s="20">
        <f t="shared" si="3"/>
        <v>832.23</v>
      </c>
      <c r="L131" s="1"/>
    </row>
    <row r="132" spans="1:12" x14ac:dyDescent="0.25">
      <c r="A132" s="19">
        <v>42444</v>
      </c>
      <c r="B132" s="8" t="s">
        <v>308</v>
      </c>
      <c r="C132" s="8" t="s">
        <v>309</v>
      </c>
      <c r="D132" s="9" t="s">
        <v>131</v>
      </c>
      <c r="E132" s="7">
        <v>323.2</v>
      </c>
      <c r="F132" s="7">
        <v>0</v>
      </c>
      <c r="G132" s="7">
        <v>0</v>
      </c>
      <c r="H132" s="7">
        <v>323.2</v>
      </c>
      <c r="I132" s="13">
        <v>582140</v>
      </c>
      <c r="J132" s="20">
        <v>0</v>
      </c>
      <c r="K132" s="20">
        <f t="shared" si="3"/>
        <v>323.2</v>
      </c>
      <c r="L132" s="1"/>
    </row>
    <row r="133" spans="1:12" x14ac:dyDescent="0.25">
      <c r="A133" s="19">
        <v>42444</v>
      </c>
      <c r="B133" s="8" t="s">
        <v>310</v>
      </c>
      <c r="C133" s="8" t="s">
        <v>311</v>
      </c>
      <c r="D133" s="9" t="s">
        <v>124</v>
      </c>
      <c r="E133" s="7">
        <v>574.04</v>
      </c>
      <c r="F133" s="7">
        <v>0</v>
      </c>
      <c r="G133" s="7">
        <v>46.08</v>
      </c>
      <c r="H133" s="7">
        <v>620.12</v>
      </c>
      <c r="I133" s="13">
        <v>582043</v>
      </c>
      <c r="J133" s="20">
        <v>0</v>
      </c>
      <c r="K133" s="20">
        <f t="shared" si="3"/>
        <v>620.12</v>
      </c>
      <c r="L133" s="1"/>
    </row>
    <row r="134" spans="1:12" x14ac:dyDescent="0.25">
      <c r="A134" s="19">
        <v>42444</v>
      </c>
      <c r="B134" s="8" t="s">
        <v>312</v>
      </c>
      <c r="C134" s="8" t="s">
        <v>313</v>
      </c>
      <c r="D134" s="9" t="s">
        <v>44</v>
      </c>
      <c r="E134" s="7">
        <v>1505.51</v>
      </c>
      <c r="F134" s="7">
        <v>0</v>
      </c>
      <c r="G134" s="7">
        <v>79.66</v>
      </c>
      <c r="H134" s="7">
        <v>1585.17</v>
      </c>
      <c r="I134" s="13">
        <v>581017</v>
      </c>
      <c r="J134" s="20">
        <v>0</v>
      </c>
      <c r="K134" s="20">
        <f t="shared" si="3"/>
        <v>1585.17</v>
      </c>
      <c r="L134" s="1"/>
    </row>
    <row r="135" spans="1:12" x14ac:dyDescent="0.25">
      <c r="A135" s="19">
        <v>42444</v>
      </c>
      <c r="B135" s="8" t="s">
        <v>314</v>
      </c>
      <c r="C135" s="8" t="s">
        <v>315</v>
      </c>
      <c r="D135" s="9" t="s">
        <v>92</v>
      </c>
      <c r="E135" s="7">
        <v>841.22</v>
      </c>
      <c r="F135" s="7">
        <v>0</v>
      </c>
      <c r="G135" s="7">
        <v>0</v>
      </c>
      <c r="H135" s="7">
        <v>841.22</v>
      </c>
      <c r="I135" s="13">
        <v>581583</v>
      </c>
      <c r="J135" s="20">
        <v>0</v>
      </c>
      <c r="K135" s="20">
        <f t="shared" si="3"/>
        <v>841.22</v>
      </c>
      <c r="L135" s="1"/>
    </row>
    <row r="136" spans="1:12" x14ac:dyDescent="0.25">
      <c r="A136" s="19">
        <v>42444</v>
      </c>
      <c r="B136" s="8" t="s">
        <v>316</v>
      </c>
      <c r="C136" s="8" t="s">
        <v>317</v>
      </c>
      <c r="D136" s="9" t="s">
        <v>130</v>
      </c>
      <c r="E136" s="7">
        <v>801.4</v>
      </c>
      <c r="F136" s="7">
        <v>0</v>
      </c>
      <c r="G136" s="7">
        <v>0</v>
      </c>
      <c r="H136" s="7">
        <v>801.4</v>
      </c>
      <c r="I136" s="13">
        <v>582127</v>
      </c>
      <c r="J136" s="20">
        <v>0</v>
      </c>
      <c r="K136" s="20">
        <f t="shared" ref="K136:K167" si="4">H136-J136</f>
        <v>801.4</v>
      </c>
      <c r="L136" s="1"/>
    </row>
    <row r="137" spans="1:12" x14ac:dyDescent="0.25">
      <c r="A137" s="19">
        <v>42444</v>
      </c>
      <c r="B137" s="8" t="s">
        <v>318</v>
      </c>
      <c r="C137" s="8" t="s">
        <v>319</v>
      </c>
      <c r="D137" s="9" t="s">
        <v>109</v>
      </c>
      <c r="E137" s="7">
        <v>350.6</v>
      </c>
      <c r="F137" s="7">
        <v>0</v>
      </c>
      <c r="G137" s="7">
        <v>0</v>
      </c>
      <c r="H137" s="7">
        <v>350.6</v>
      </c>
      <c r="I137" s="13">
        <v>581788</v>
      </c>
      <c r="J137" s="20">
        <v>0</v>
      </c>
      <c r="K137" s="20">
        <f t="shared" si="4"/>
        <v>350.6</v>
      </c>
      <c r="L137" s="1"/>
    </row>
    <row r="138" spans="1:12" x14ac:dyDescent="0.25">
      <c r="A138" s="19">
        <v>42444</v>
      </c>
      <c r="B138" s="8" t="s">
        <v>320</v>
      </c>
      <c r="C138" s="8" t="s">
        <v>321</v>
      </c>
      <c r="D138" s="9" t="s">
        <v>133</v>
      </c>
      <c r="E138" s="7">
        <v>1051.55</v>
      </c>
      <c r="F138" s="7">
        <v>0</v>
      </c>
      <c r="G138" s="7">
        <v>0</v>
      </c>
      <c r="H138" s="7">
        <v>1051.55</v>
      </c>
      <c r="I138" s="13">
        <v>582236</v>
      </c>
      <c r="J138" s="20">
        <v>0</v>
      </c>
      <c r="K138" s="20">
        <f t="shared" si="4"/>
        <v>1051.55</v>
      </c>
      <c r="L138" s="1"/>
    </row>
    <row r="139" spans="1:12" x14ac:dyDescent="0.25">
      <c r="A139" s="19">
        <v>42444</v>
      </c>
      <c r="B139" s="8" t="s">
        <v>322</v>
      </c>
      <c r="C139" s="8" t="s">
        <v>160</v>
      </c>
      <c r="D139" s="9" t="s">
        <v>117</v>
      </c>
      <c r="E139" s="7">
        <v>4801.76</v>
      </c>
      <c r="F139" s="7">
        <v>0</v>
      </c>
      <c r="G139" s="7">
        <v>0</v>
      </c>
      <c r="H139" s="7">
        <v>4801.76</v>
      </c>
      <c r="I139" s="13">
        <v>581936</v>
      </c>
      <c r="J139" s="20">
        <v>0</v>
      </c>
      <c r="K139" s="20">
        <f t="shared" si="4"/>
        <v>4801.76</v>
      </c>
      <c r="L139" s="1"/>
    </row>
    <row r="140" spans="1:12" x14ac:dyDescent="0.25">
      <c r="A140" s="19">
        <v>42444</v>
      </c>
      <c r="B140" s="8" t="s">
        <v>322</v>
      </c>
      <c r="C140" s="8" t="s">
        <v>160</v>
      </c>
      <c r="D140" s="9" t="s">
        <v>117</v>
      </c>
      <c r="E140" s="7">
        <v>8703.0499999999993</v>
      </c>
      <c r="F140" s="7">
        <v>0</v>
      </c>
      <c r="G140" s="7">
        <v>0</v>
      </c>
      <c r="H140" s="7">
        <v>8703.0499999999993</v>
      </c>
      <c r="I140" s="13">
        <v>582623</v>
      </c>
      <c r="J140" s="20">
        <v>0</v>
      </c>
      <c r="K140" s="20">
        <f t="shared" si="4"/>
        <v>8703.0499999999993</v>
      </c>
      <c r="L140" s="1"/>
    </row>
    <row r="141" spans="1:12" x14ac:dyDescent="0.25">
      <c r="A141" s="19">
        <v>42444</v>
      </c>
      <c r="B141" s="8" t="s">
        <v>322</v>
      </c>
      <c r="C141" s="8" t="s">
        <v>160</v>
      </c>
      <c r="D141" s="9" t="s">
        <v>117</v>
      </c>
      <c r="E141" s="7">
        <v>399.93</v>
      </c>
      <c r="F141" s="7">
        <v>0</v>
      </c>
      <c r="G141" s="7">
        <v>0</v>
      </c>
      <c r="H141" s="7">
        <v>399.93</v>
      </c>
      <c r="I141" s="13">
        <v>582624</v>
      </c>
      <c r="J141" s="20">
        <v>0</v>
      </c>
      <c r="K141" s="20">
        <f t="shared" si="4"/>
        <v>399.93</v>
      </c>
      <c r="L141" s="1"/>
    </row>
    <row r="142" spans="1:12" x14ac:dyDescent="0.25">
      <c r="A142" s="19">
        <v>42445</v>
      </c>
      <c r="B142" s="8" t="s">
        <v>323</v>
      </c>
      <c r="C142" s="8" t="s">
        <v>324</v>
      </c>
      <c r="D142" s="9" t="s">
        <v>123</v>
      </c>
      <c r="E142" s="7">
        <v>3206.51</v>
      </c>
      <c r="F142" s="7">
        <v>0</v>
      </c>
      <c r="G142" s="7">
        <v>0</v>
      </c>
      <c r="H142" s="7">
        <v>3206.51</v>
      </c>
      <c r="I142" s="13">
        <v>582038</v>
      </c>
      <c r="J142" s="20">
        <v>0</v>
      </c>
      <c r="K142" s="20">
        <f t="shared" si="4"/>
        <v>3206.51</v>
      </c>
      <c r="L142" s="1"/>
    </row>
    <row r="143" spans="1:12" x14ac:dyDescent="0.25">
      <c r="A143" s="19">
        <v>42445</v>
      </c>
      <c r="B143" s="8" t="s">
        <v>325</v>
      </c>
      <c r="C143" s="8" t="s">
        <v>326</v>
      </c>
      <c r="D143" s="9" t="s">
        <v>144</v>
      </c>
      <c r="E143" s="7">
        <v>3332.71</v>
      </c>
      <c r="F143" s="7">
        <v>0</v>
      </c>
      <c r="G143" s="7">
        <v>0</v>
      </c>
      <c r="H143" s="7">
        <v>3332.71</v>
      </c>
      <c r="I143" s="13">
        <v>582504</v>
      </c>
      <c r="J143" s="20">
        <v>0</v>
      </c>
      <c r="K143" s="20">
        <f t="shared" si="4"/>
        <v>3332.71</v>
      </c>
      <c r="L143" s="1"/>
    </row>
    <row r="144" spans="1:12" x14ac:dyDescent="0.25">
      <c r="A144" s="19">
        <v>42445</v>
      </c>
      <c r="B144" s="8" t="s">
        <v>325</v>
      </c>
      <c r="C144" s="8" t="s">
        <v>326</v>
      </c>
      <c r="D144" s="9" t="s">
        <v>120</v>
      </c>
      <c r="E144" s="7">
        <v>671.62</v>
      </c>
      <c r="F144" s="7">
        <v>0</v>
      </c>
      <c r="G144" s="7">
        <v>0</v>
      </c>
      <c r="H144" s="7">
        <v>671.62</v>
      </c>
      <c r="I144" s="13">
        <v>581977</v>
      </c>
      <c r="J144" s="20">
        <v>0</v>
      </c>
      <c r="K144" s="20">
        <f t="shared" si="4"/>
        <v>671.62</v>
      </c>
      <c r="L144" s="1"/>
    </row>
    <row r="145" spans="1:12" x14ac:dyDescent="0.25">
      <c r="A145" s="19">
        <v>42445</v>
      </c>
      <c r="B145" s="8" t="s">
        <v>327</v>
      </c>
      <c r="C145" s="8" t="s">
        <v>328</v>
      </c>
      <c r="D145" s="9" t="s">
        <v>36</v>
      </c>
      <c r="E145" s="7">
        <v>1902.2</v>
      </c>
      <c r="F145" s="7">
        <v>0</v>
      </c>
      <c r="G145" s="7">
        <v>0</v>
      </c>
      <c r="H145" s="7">
        <v>1902.2</v>
      </c>
      <c r="I145" s="13">
        <v>581366</v>
      </c>
      <c r="J145" s="20">
        <v>0</v>
      </c>
      <c r="K145" s="20">
        <f t="shared" si="4"/>
        <v>1902.2</v>
      </c>
      <c r="L145" s="1"/>
    </row>
    <row r="146" spans="1:12" x14ac:dyDescent="0.25">
      <c r="A146" s="19">
        <v>42445</v>
      </c>
      <c r="B146" s="8" t="s">
        <v>327</v>
      </c>
      <c r="C146" s="8" t="s">
        <v>328</v>
      </c>
      <c r="D146" s="9" t="s">
        <v>36</v>
      </c>
      <c r="E146" s="7">
        <v>715.66</v>
      </c>
      <c r="F146" s="7">
        <v>0</v>
      </c>
      <c r="G146" s="7">
        <v>0</v>
      </c>
      <c r="H146" s="7">
        <v>715.66</v>
      </c>
      <c r="I146" s="13">
        <v>581367</v>
      </c>
      <c r="J146" s="20">
        <v>0</v>
      </c>
      <c r="K146" s="20">
        <f t="shared" si="4"/>
        <v>715.66</v>
      </c>
      <c r="L146" s="1"/>
    </row>
    <row r="147" spans="1:12" x14ac:dyDescent="0.25">
      <c r="A147" s="19">
        <v>42445</v>
      </c>
      <c r="B147" s="8" t="s">
        <v>329</v>
      </c>
      <c r="C147" s="8" t="s">
        <v>330</v>
      </c>
      <c r="D147" s="9" t="s">
        <v>77</v>
      </c>
      <c r="E147" s="7">
        <v>2517.1</v>
      </c>
      <c r="F147" s="7">
        <v>0</v>
      </c>
      <c r="G147" s="7">
        <v>0</v>
      </c>
      <c r="H147" s="7">
        <v>2517.1</v>
      </c>
      <c r="I147" s="13">
        <v>581435</v>
      </c>
      <c r="J147" s="20">
        <v>0</v>
      </c>
      <c r="K147" s="20">
        <f t="shared" si="4"/>
        <v>2517.1</v>
      </c>
      <c r="L147" s="1"/>
    </row>
    <row r="148" spans="1:12" x14ac:dyDescent="0.25">
      <c r="A148" s="19">
        <v>42445</v>
      </c>
      <c r="B148" s="8" t="s">
        <v>331</v>
      </c>
      <c r="C148" s="8" t="s">
        <v>332</v>
      </c>
      <c r="D148" s="9" t="s">
        <v>23</v>
      </c>
      <c r="E148" s="7">
        <v>2373.4499999999998</v>
      </c>
      <c r="F148" s="7">
        <v>0</v>
      </c>
      <c r="G148" s="7">
        <v>0</v>
      </c>
      <c r="H148" s="7">
        <v>2373.4499999999998</v>
      </c>
      <c r="I148" s="13">
        <v>581281</v>
      </c>
      <c r="J148" s="20">
        <v>0</v>
      </c>
      <c r="K148" s="20">
        <f t="shared" si="4"/>
        <v>2373.4499999999998</v>
      </c>
      <c r="L148" s="1"/>
    </row>
    <row r="149" spans="1:12" x14ac:dyDescent="0.25">
      <c r="A149" s="19">
        <v>42445</v>
      </c>
      <c r="B149" s="8" t="s">
        <v>331</v>
      </c>
      <c r="C149" s="8" t="s">
        <v>332</v>
      </c>
      <c r="D149" s="9" t="s">
        <v>23</v>
      </c>
      <c r="E149" s="7">
        <v>790</v>
      </c>
      <c r="F149" s="7">
        <v>0</v>
      </c>
      <c r="G149" s="7">
        <v>0</v>
      </c>
      <c r="H149" s="7">
        <v>790</v>
      </c>
      <c r="I149" s="13">
        <v>581282</v>
      </c>
      <c r="J149" s="20">
        <v>0</v>
      </c>
      <c r="K149" s="20">
        <f t="shared" si="4"/>
        <v>790</v>
      </c>
      <c r="L149" s="1"/>
    </row>
    <row r="150" spans="1:12" x14ac:dyDescent="0.25">
      <c r="A150" s="19">
        <v>42446</v>
      </c>
      <c r="B150" s="8" t="s">
        <v>333</v>
      </c>
      <c r="C150" s="8" t="s">
        <v>334</v>
      </c>
      <c r="D150" s="9" t="s">
        <v>84</v>
      </c>
      <c r="E150" s="7">
        <v>2770.11</v>
      </c>
      <c r="F150" s="7">
        <v>0</v>
      </c>
      <c r="G150" s="7">
        <v>0</v>
      </c>
      <c r="H150" s="7">
        <v>2770.11</v>
      </c>
      <c r="I150" s="13">
        <v>581499</v>
      </c>
      <c r="J150" s="20">
        <v>0</v>
      </c>
      <c r="K150" s="20">
        <f t="shared" si="4"/>
        <v>2770.11</v>
      </c>
      <c r="L150" s="1"/>
    </row>
    <row r="151" spans="1:12" x14ac:dyDescent="0.25">
      <c r="A151" s="19">
        <v>42446</v>
      </c>
      <c r="B151" s="8" t="s">
        <v>333</v>
      </c>
      <c r="C151" s="8" t="s">
        <v>334</v>
      </c>
      <c r="D151" s="9" t="s">
        <v>84</v>
      </c>
      <c r="E151" s="7">
        <v>1739.95</v>
      </c>
      <c r="F151" s="7">
        <v>0</v>
      </c>
      <c r="G151" s="7">
        <v>0</v>
      </c>
      <c r="H151" s="7">
        <v>1739.95</v>
      </c>
      <c r="I151" s="13">
        <v>581500</v>
      </c>
      <c r="J151" s="20">
        <v>0</v>
      </c>
      <c r="K151" s="20">
        <f t="shared" si="4"/>
        <v>1739.95</v>
      </c>
      <c r="L151" s="1"/>
    </row>
    <row r="152" spans="1:12" x14ac:dyDescent="0.25">
      <c r="A152" s="19">
        <v>42446</v>
      </c>
      <c r="B152" s="8" t="s">
        <v>335</v>
      </c>
      <c r="C152" s="8" t="s">
        <v>336</v>
      </c>
      <c r="D152" s="9" t="s">
        <v>48</v>
      </c>
      <c r="E152" s="7">
        <v>877.76</v>
      </c>
      <c r="F152" s="7">
        <v>0</v>
      </c>
      <c r="G152" s="7">
        <v>0</v>
      </c>
      <c r="H152" s="7">
        <v>877.76</v>
      </c>
      <c r="I152" s="13">
        <v>581032</v>
      </c>
      <c r="J152" s="20">
        <v>0</v>
      </c>
      <c r="K152" s="20">
        <f t="shared" si="4"/>
        <v>877.76</v>
      </c>
      <c r="L152" s="1"/>
    </row>
    <row r="153" spans="1:12" x14ac:dyDescent="0.25">
      <c r="A153" s="19">
        <v>42446</v>
      </c>
      <c r="B153" s="8" t="s">
        <v>337</v>
      </c>
      <c r="C153" s="8" t="s">
        <v>338</v>
      </c>
      <c r="D153" s="9" t="s">
        <v>147</v>
      </c>
      <c r="E153" s="7">
        <v>2639.13</v>
      </c>
      <c r="F153" s="7">
        <v>0</v>
      </c>
      <c r="G153" s="7">
        <v>0</v>
      </c>
      <c r="H153" s="7">
        <v>2639.13</v>
      </c>
      <c r="I153" s="13">
        <v>582622</v>
      </c>
      <c r="J153" s="20">
        <v>0</v>
      </c>
      <c r="K153" s="20">
        <f t="shared" si="4"/>
        <v>2639.13</v>
      </c>
      <c r="L153" s="1"/>
    </row>
    <row r="154" spans="1:12" x14ac:dyDescent="0.25">
      <c r="A154" s="19">
        <v>42446</v>
      </c>
      <c r="B154" s="8" t="s">
        <v>339</v>
      </c>
      <c r="C154" s="8" t="s">
        <v>340</v>
      </c>
      <c r="D154" s="9" t="s">
        <v>141</v>
      </c>
      <c r="E154" s="7">
        <v>352</v>
      </c>
      <c r="F154" s="7">
        <v>0</v>
      </c>
      <c r="G154" s="7">
        <v>0</v>
      </c>
      <c r="H154" s="7">
        <v>352</v>
      </c>
      <c r="I154" s="13">
        <v>582491</v>
      </c>
      <c r="J154" s="20">
        <v>0</v>
      </c>
      <c r="K154" s="20">
        <f t="shared" si="4"/>
        <v>352</v>
      </c>
      <c r="L154" s="1"/>
    </row>
    <row r="155" spans="1:12" x14ac:dyDescent="0.25">
      <c r="A155" s="19">
        <v>42446</v>
      </c>
      <c r="B155" s="8" t="s">
        <v>341</v>
      </c>
      <c r="C155" s="8" t="s">
        <v>342</v>
      </c>
      <c r="D155" s="9" t="s">
        <v>43</v>
      </c>
      <c r="E155" s="7">
        <v>1110.1300000000001</v>
      </c>
      <c r="F155" s="7">
        <v>0</v>
      </c>
      <c r="G155" s="7">
        <v>6.43</v>
      </c>
      <c r="H155" s="7">
        <v>1116.56</v>
      </c>
      <c r="I155" s="13">
        <v>581015</v>
      </c>
      <c r="J155" s="20">
        <v>0</v>
      </c>
      <c r="K155" s="20">
        <f t="shared" si="4"/>
        <v>1116.56</v>
      </c>
      <c r="L155" s="1"/>
    </row>
    <row r="156" spans="1:12" x14ac:dyDescent="0.25">
      <c r="A156" s="19">
        <v>42446</v>
      </c>
      <c r="B156" s="8" t="s">
        <v>343</v>
      </c>
      <c r="C156" s="8" t="s">
        <v>344</v>
      </c>
      <c r="D156" s="9" t="s">
        <v>127</v>
      </c>
      <c r="E156" s="7">
        <v>1500.59</v>
      </c>
      <c r="F156" s="7">
        <v>0</v>
      </c>
      <c r="G156" s="7">
        <v>0</v>
      </c>
      <c r="H156" s="7">
        <v>1500.59</v>
      </c>
      <c r="I156" s="13">
        <v>582114</v>
      </c>
      <c r="J156" s="20">
        <v>0</v>
      </c>
      <c r="K156" s="20">
        <f t="shared" si="4"/>
        <v>1500.59</v>
      </c>
      <c r="L156" s="1"/>
    </row>
    <row r="157" spans="1:12" x14ac:dyDescent="0.25">
      <c r="A157" s="19">
        <v>42446</v>
      </c>
      <c r="B157" s="8" t="s">
        <v>346</v>
      </c>
      <c r="C157" s="8" t="s">
        <v>345</v>
      </c>
      <c r="D157" s="9" t="s">
        <v>101</v>
      </c>
      <c r="E157" s="7">
        <v>681.76</v>
      </c>
      <c r="F157" s="7">
        <v>0</v>
      </c>
      <c r="G157" s="7">
        <v>0</v>
      </c>
      <c r="H157" s="7">
        <v>681.76</v>
      </c>
      <c r="I157" s="13">
        <v>581700</v>
      </c>
      <c r="J157" s="20">
        <v>0</v>
      </c>
      <c r="K157" s="20">
        <f t="shared" si="4"/>
        <v>681.76</v>
      </c>
      <c r="L157" s="1"/>
    </row>
    <row r="158" spans="1:12" x14ac:dyDescent="0.25">
      <c r="A158" s="19">
        <v>42447</v>
      </c>
      <c r="B158" s="8" t="s">
        <v>347</v>
      </c>
      <c r="C158" s="8" t="s">
        <v>348</v>
      </c>
      <c r="D158" s="9" t="s">
        <v>60</v>
      </c>
      <c r="E158" s="7">
        <v>520.99</v>
      </c>
      <c r="F158" s="7">
        <v>0</v>
      </c>
      <c r="G158" s="7">
        <v>0</v>
      </c>
      <c r="H158" s="7">
        <v>520.99</v>
      </c>
      <c r="I158" s="13">
        <v>581096</v>
      </c>
      <c r="J158" s="20">
        <v>0</v>
      </c>
      <c r="K158" s="20">
        <f t="shared" si="4"/>
        <v>520.99</v>
      </c>
      <c r="L158" s="1"/>
    </row>
    <row r="159" spans="1:12" x14ac:dyDescent="0.25">
      <c r="A159" s="19">
        <v>42447</v>
      </c>
      <c r="B159" s="8" t="s">
        <v>349</v>
      </c>
      <c r="C159" s="8" t="s">
        <v>350</v>
      </c>
      <c r="D159" s="9" t="s">
        <v>74</v>
      </c>
      <c r="E159" s="7">
        <v>1414.4</v>
      </c>
      <c r="F159" s="7">
        <v>0</v>
      </c>
      <c r="G159" s="7">
        <v>0</v>
      </c>
      <c r="H159" s="7">
        <v>1414.4</v>
      </c>
      <c r="I159" s="13">
        <v>581421</v>
      </c>
      <c r="J159" s="20">
        <v>0</v>
      </c>
      <c r="K159" s="20">
        <f t="shared" si="4"/>
        <v>1414.4</v>
      </c>
      <c r="L159" s="1"/>
    </row>
    <row r="160" spans="1:12" s="40" customFormat="1" x14ac:dyDescent="0.25">
      <c r="A160" s="33">
        <v>8</v>
      </c>
      <c r="B160" s="34" t="s">
        <v>351</v>
      </c>
      <c r="C160" s="34" t="s">
        <v>352</v>
      </c>
      <c r="D160" s="35" t="s">
        <v>95</v>
      </c>
      <c r="E160" s="36">
        <v>1314.12</v>
      </c>
      <c r="F160" s="36">
        <v>0</v>
      </c>
      <c r="G160" s="36">
        <v>0</v>
      </c>
      <c r="H160" s="36">
        <v>1314.12</v>
      </c>
      <c r="I160" s="37">
        <v>581638</v>
      </c>
      <c r="J160" s="38">
        <v>0</v>
      </c>
      <c r="K160" s="38">
        <f t="shared" si="4"/>
        <v>1314.12</v>
      </c>
      <c r="L160" s="39"/>
    </row>
    <row r="161" spans="1:12" x14ac:dyDescent="0.25">
      <c r="A161" s="19">
        <v>42447</v>
      </c>
      <c r="B161" s="8" t="s">
        <v>353</v>
      </c>
      <c r="C161" s="8" t="s">
        <v>354</v>
      </c>
      <c r="D161" s="9" t="s">
        <v>126</v>
      </c>
      <c r="E161" s="7">
        <v>938.08</v>
      </c>
      <c r="F161" s="7">
        <v>0</v>
      </c>
      <c r="G161" s="7">
        <v>0</v>
      </c>
      <c r="H161" s="7">
        <v>938.08</v>
      </c>
      <c r="I161" s="13">
        <v>582062</v>
      </c>
      <c r="J161" s="20">
        <v>0</v>
      </c>
      <c r="K161" s="20">
        <f t="shared" si="4"/>
        <v>938.08</v>
      </c>
      <c r="L161" s="1"/>
    </row>
    <row r="162" spans="1:12" x14ac:dyDescent="0.25">
      <c r="A162" s="19">
        <v>42447</v>
      </c>
      <c r="B162" s="8" t="s">
        <v>355</v>
      </c>
      <c r="C162" s="8" t="s">
        <v>356</v>
      </c>
      <c r="D162" s="9" t="s">
        <v>105</v>
      </c>
      <c r="E162" s="7">
        <v>1017.48</v>
      </c>
      <c r="F162" s="7">
        <v>0</v>
      </c>
      <c r="G162" s="7">
        <v>0</v>
      </c>
      <c r="H162" s="7">
        <v>1017.48</v>
      </c>
      <c r="I162" s="13">
        <v>581743</v>
      </c>
      <c r="J162" s="20">
        <v>0</v>
      </c>
      <c r="K162" s="20">
        <f t="shared" si="4"/>
        <v>1017.48</v>
      </c>
      <c r="L162" s="1"/>
    </row>
    <row r="163" spans="1:12" x14ac:dyDescent="0.25">
      <c r="A163" s="19">
        <v>42447</v>
      </c>
      <c r="B163" s="8" t="s">
        <v>355</v>
      </c>
      <c r="C163" s="8" t="s">
        <v>356</v>
      </c>
      <c r="D163" s="9" t="s">
        <v>105</v>
      </c>
      <c r="E163" s="7">
        <v>407.4</v>
      </c>
      <c r="F163" s="7">
        <v>0</v>
      </c>
      <c r="G163" s="7">
        <v>0</v>
      </c>
      <c r="H163" s="7">
        <v>407.4</v>
      </c>
      <c r="I163" s="13">
        <v>581744</v>
      </c>
      <c r="J163" s="20">
        <v>0</v>
      </c>
      <c r="K163" s="20">
        <f t="shared" si="4"/>
        <v>407.4</v>
      </c>
      <c r="L163" s="1"/>
    </row>
    <row r="164" spans="1:12" x14ac:dyDescent="0.25">
      <c r="A164" s="19">
        <v>42450</v>
      </c>
      <c r="B164" s="8" t="s">
        <v>357</v>
      </c>
      <c r="C164" s="8" t="s">
        <v>358</v>
      </c>
      <c r="D164" s="9" t="s">
        <v>30</v>
      </c>
      <c r="E164" s="25">
        <v>374.75</v>
      </c>
      <c r="F164" s="25">
        <v>0</v>
      </c>
      <c r="G164" s="25">
        <v>0</v>
      </c>
      <c r="H164" s="25">
        <v>374.75</v>
      </c>
      <c r="I164" s="13">
        <v>581124</v>
      </c>
      <c r="J164" s="20">
        <v>0</v>
      </c>
      <c r="K164" s="20">
        <f t="shared" si="4"/>
        <v>374.75</v>
      </c>
      <c r="L164" s="1"/>
    </row>
    <row r="165" spans="1:12" x14ac:dyDescent="0.25">
      <c r="A165" s="19">
        <v>42450</v>
      </c>
      <c r="B165" s="8" t="s">
        <v>357</v>
      </c>
      <c r="C165" s="8" t="s">
        <v>358</v>
      </c>
      <c r="D165" s="9" t="s">
        <v>30</v>
      </c>
      <c r="E165" s="7">
        <v>661.25</v>
      </c>
      <c r="F165" s="7">
        <v>0</v>
      </c>
      <c r="G165" s="7">
        <v>16.95</v>
      </c>
      <c r="H165" s="7">
        <v>678.2</v>
      </c>
      <c r="I165" s="13">
        <v>581343</v>
      </c>
      <c r="J165" s="20">
        <v>0</v>
      </c>
      <c r="K165" s="20">
        <f t="shared" si="4"/>
        <v>678.2</v>
      </c>
      <c r="L165" s="1"/>
    </row>
    <row r="166" spans="1:12" x14ac:dyDescent="0.25">
      <c r="A166" s="19">
        <v>42450</v>
      </c>
      <c r="B166" s="8" t="s">
        <v>357</v>
      </c>
      <c r="C166" s="8" t="s">
        <v>358</v>
      </c>
      <c r="D166" s="9" t="s">
        <v>30</v>
      </c>
      <c r="E166" s="7">
        <v>1633.83</v>
      </c>
      <c r="F166" s="7">
        <v>0</v>
      </c>
      <c r="G166" s="7">
        <v>0</v>
      </c>
      <c r="H166" s="7">
        <v>1633.83</v>
      </c>
      <c r="I166" s="13">
        <v>581890</v>
      </c>
      <c r="J166" s="20">
        <v>0</v>
      </c>
      <c r="K166" s="20">
        <f t="shared" si="4"/>
        <v>1633.83</v>
      </c>
      <c r="L166" s="1"/>
    </row>
    <row r="167" spans="1:12" x14ac:dyDescent="0.25">
      <c r="A167" s="19">
        <v>42450</v>
      </c>
      <c r="B167" s="8" t="s">
        <v>359</v>
      </c>
      <c r="C167" s="8" t="s">
        <v>360</v>
      </c>
      <c r="D167" s="9" t="s">
        <v>140</v>
      </c>
      <c r="E167" s="7">
        <v>1310.76</v>
      </c>
      <c r="F167" s="7">
        <v>0</v>
      </c>
      <c r="G167" s="7">
        <v>0</v>
      </c>
      <c r="H167" s="7">
        <v>1310.76</v>
      </c>
      <c r="I167" s="13">
        <v>582476</v>
      </c>
      <c r="J167" s="20">
        <v>0</v>
      </c>
      <c r="K167" s="20">
        <f t="shared" si="4"/>
        <v>1310.76</v>
      </c>
      <c r="L167" s="1"/>
    </row>
    <row r="168" spans="1:12" x14ac:dyDescent="0.25">
      <c r="A168" s="19">
        <v>42450</v>
      </c>
      <c r="B168" s="8" t="s">
        <v>361</v>
      </c>
      <c r="C168" s="8" t="s">
        <v>362</v>
      </c>
      <c r="D168" s="9" t="s">
        <v>80</v>
      </c>
      <c r="E168" s="7">
        <v>1686.32</v>
      </c>
      <c r="F168" s="7">
        <v>0</v>
      </c>
      <c r="G168" s="7">
        <v>0</v>
      </c>
      <c r="H168" s="7">
        <v>1686.32</v>
      </c>
      <c r="I168" s="13">
        <v>581450</v>
      </c>
      <c r="J168" s="20">
        <v>0</v>
      </c>
      <c r="K168" s="20">
        <f t="shared" ref="K168:K199" si="5">H168-J168</f>
        <v>1686.32</v>
      </c>
      <c r="L168" s="1"/>
    </row>
    <row r="169" spans="1:12" x14ac:dyDescent="0.25">
      <c r="A169" s="19">
        <v>42451</v>
      </c>
      <c r="B169" s="8" t="s">
        <v>361</v>
      </c>
      <c r="C169" s="8" t="s">
        <v>362</v>
      </c>
      <c r="D169" s="9" t="s">
        <v>80</v>
      </c>
      <c r="E169" s="7">
        <v>307.2</v>
      </c>
      <c r="F169" s="7">
        <v>0</v>
      </c>
      <c r="G169" s="7">
        <v>36.86</v>
      </c>
      <c r="H169" s="7">
        <v>344.06</v>
      </c>
      <c r="I169" s="13">
        <v>581451</v>
      </c>
      <c r="J169" s="20">
        <v>0</v>
      </c>
      <c r="K169" s="20">
        <f t="shared" si="5"/>
        <v>344.06</v>
      </c>
      <c r="L169" s="1"/>
    </row>
    <row r="170" spans="1:12" x14ac:dyDescent="0.25">
      <c r="A170" s="19">
        <v>42451</v>
      </c>
      <c r="B170" s="8" t="s">
        <v>363</v>
      </c>
      <c r="C170" s="8" t="s">
        <v>364</v>
      </c>
      <c r="D170" s="9" t="s">
        <v>139</v>
      </c>
      <c r="E170" s="7">
        <v>1731.6</v>
      </c>
      <c r="F170" s="7">
        <v>0</v>
      </c>
      <c r="G170" s="7">
        <v>207.8</v>
      </c>
      <c r="H170" s="7">
        <v>1939.4</v>
      </c>
      <c r="I170" s="13">
        <v>582418</v>
      </c>
      <c r="J170" s="20">
        <v>0</v>
      </c>
      <c r="K170" s="20">
        <f t="shared" si="5"/>
        <v>1939.4</v>
      </c>
      <c r="L170" s="1"/>
    </row>
    <row r="171" spans="1:12" x14ac:dyDescent="0.25">
      <c r="A171" s="19">
        <v>42451</v>
      </c>
      <c r="B171" s="8" t="s">
        <v>365</v>
      </c>
      <c r="C171" s="8" t="s">
        <v>366</v>
      </c>
      <c r="D171" s="9" t="s">
        <v>41</v>
      </c>
      <c r="E171" s="7">
        <v>2904.97</v>
      </c>
      <c r="F171" s="7">
        <v>0</v>
      </c>
      <c r="G171" s="7">
        <v>0</v>
      </c>
      <c r="H171" s="7">
        <v>2904.97</v>
      </c>
      <c r="I171" s="13">
        <v>581009</v>
      </c>
      <c r="J171" s="20">
        <v>0</v>
      </c>
      <c r="K171" s="20">
        <f t="shared" si="5"/>
        <v>2904.97</v>
      </c>
      <c r="L171" s="1"/>
    </row>
    <row r="172" spans="1:12" x14ac:dyDescent="0.25">
      <c r="A172" s="19">
        <v>42452</v>
      </c>
      <c r="B172" s="8" t="s">
        <v>367</v>
      </c>
      <c r="C172" s="8" t="s">
        <v>368</v>
      </c>
      <c r="D172" s="9" t="s">
        <v>55</v>
      </c>
      <c r="E172" s="7">
        <v>1007.07</v>
      </c>
      <c r="F172" s="7">
        <v>0</v>
      </c>
      <c r="G172" s="7">
        <v>0</v>
      </c>
      <c r="H172" s="7">
        <v>1007.07</v>
      </c>
      <c r="I172" s="13">
        <v>581062</v>
      </c>
      <c r="J172" s="20">
        <v>0</v>
      </c>
      <c r="K172" s="20">
        <f t="shared" si="5"/>
        <v>1007.07</v>
      </c>
      <c r="L172" s="1"/>
    </row>
    <row r="173" spans="1:12" x14ac:dyDescent="0.25">
      <c r="A173" s="19">
        <v>42457</v>
      </c>
      <c r="B173" s="8" t="s">
        <v>367</v>
      </c>
      <c r="C173" s="8" t="s">
        <v>368</v>
      </c>
      <c r="D173" s="9" t="s">
        <v>55</v>
      </c>
      <c r="E173" s="7">
        <v>1222.43</v>
      </c>
      <c r="F173" s="7">
        <v>0</v>
      </c>
      <c r="G173" s="7">
        <v>146.69</v>
      </c>
      <c r="H173" s="7">
        <v>1369.12</v>
      </c>
      <c r="I173" s="13">
        <v>581063</v>
      </c>
      <c r="J173" s="20">
        <v>0</v>
      </c>
      <c r="K173" s="20">
        <f t="shared" si="5"/>
        <v>1369.12</v>
      </c>
      <c r="L173" s="1"/>
    </row>
    <row r="174" spans="1:12" x14ac:dyDescent="0.25">
      <c r="A174" s="19">
        <v>42457</v>
      </c>
      <c r="B174" s="8" t="s">
        <v>367</v>
      </c>
      <c r="C174" s="8" t="s">
        <v>368</v>
      </c>
      <c r="D174" s="9" t="s">
        <v>55</v>
      </c>
      <c r="E174" s="7">
        <v>469.39</v>
      </c>
      <c r="F174" s="7">
        <v>0</v>
      </c>
      <c r="G174" s="7">
        <v>0</v>
      </c>
      <c r="H174" s="7">
        <v>469.39</v>
      </c>
      <c r="I174" s="13">
        <v>581064</v>
      </c>
      <c r="J174" s="20">
        <v>0</v>
      </c>
      <c r="K174" s="20">
        <f t="shared" si="5"/>
        <v>469.39</v>
      </c>
      <c r="L174" s="1"/>
    </row>
    <row r="175" spans="1:12" x14ac:dyDescent="0.25">
      <c r="A175" s="19">
        <v>42457</v>
      </c>
      <c r="B175" s="8" t="s">
        <v>369</v>
      </c>
      <c r="C175" s="8" t="s">
        <v>193</v>
      </c>
      <c r="D175" s="9" t="s">
        <v>67</v>
      </c>
      <c r="E175" s="7">
        <v>1412.32</v>
      </c>
      <c r="F175" s="7">
        <v>0</v>
      </c>
      <c r="G175" s="7">
        <v>0</v>
      </c>
      <c r="H175" s="7">
        <v>1412.32</v>
      </c>
      <c r="I175" s="13">
        <v>581209</v>
      </c>
      <c r="J175" s="20">
        <v>0</v>
      </c>
      <c r="K175" s="20">
        <f t="shared" si="5"/>
        <v>1412.32</v>
      </c>
      <c r="L175" s="1"/>
    </row>
    <row r="176" spans="1:12" x14ac:dyDescent="0.25">
      <c r="A176" s="19">
        <v>42457</v>
      </c>
      <c r="B176" s="8" t="s">
        <v>369</v>
      </c>
      <c r="C176" s="8" t="s">
        <v>193</v>
      </c>
      <c r="D176" s="9" t="s">
        <v>67</v>
      </c>
      <c r="E176" s="7">
        <v>252.27</v>
      </c>
      <c r="F176" s="7">
        <v>0</v>
      </c>
      <c r="G176" s="7">
        <v>19.29</v>
      </c>
      <c r="H176" s="7">
        <v>271.56</v>
      </c>
      <c r="I176" s="13">
        <v>581211</v>
      </c>
      <c r="J176" s="20">
        <v>0</v>
      </c>
      <c r="K176" s="20">
        <f t="shared" si="5"/>
        <v>271.56</v>
      </c>
      <c r="L176" s="1"/>
    </row>
    <row r="177" spans="1:12" x14ac:dyDescent="0.25">
      <c r="A177" s="19">
        <v>42457</v>
      </c>
      <c r="B177" s="8" t="s">
        <v>370</v>
      </c>
      <c r="C177" s="8" t="s">
        <v>371</v>
      </c>
      <c r="D177" s="9" t="s">
        <v>110</v>
      </c>
      <c r="E177" s="7">
        <v>1283.94</v>
      </c>
      <c r="F177" s="7">
        <v>0</v>
      </c>
      <c r="G177" s="7">
        <v>0</v>
      </c>
      <c r="H177" s="7">
        <v>1283.94</v>
      </c>
      <c r="I177" s="13">
        <v>581810</v>
      </c>
      <c r="J177" s="20">
        <v>0</v>
      </c>
      <c r="K177" s="20">
        <f t="shared" si="5"/>
        <v>1283.94</v>
      </c>
      <c r="L177" s="1"/>
    </row>
    <row r="178" spans="1:12" x14ac:dyDescent="0.25">
      <c r="A178" s="19">
        <v>42458</v>
      </c>
      <c r="B178" s="8" t="s">
        <v>372</v>
      </c>
      <c r="C178" s="8" t="s">
        <v>373</v>
      </c>
      <c r="D178" s="9" t="s">
        <v>25</v>
      </c>
      <c r="E178" s="7">
        <v>792.29</v>
      </c>
      <c r="F178" s="7">
        <v>0</v>
      </c>
      <c r="G178" s="7">
        <v>0</v>
      </c>
      <c r="H178" s="7">
        <v>792.29</v>
      </c>
      <c r="I178" s="13">
        <v>581287</v>
      </c>
      <c r="J178" s="20">
        <v>0</v>
      </c>
      <c r="K178" s="20">
        <f t="shared" si="5"/>
        <v>792.29</v>
      </c>
      <c r="L178" s="1"/>
    </row>
    <row r="179" spans="1:12" x14ac:dyDescent="0.25">
      <c r="A179" s="19">
        <v>42458</v>
      </c>
      <c r="B179" s="8" t="s">
        <v>374</v>
      </c>
      <c r="C179" s="8" t="s">
        <v>375</v>
      </c>
      <c r="D179" s="9" t="s">
        <v>24</v>
      </c>
      <c r="E179" s="7">
        <v>1056.1300000000001</v>
      </c>
      <c r="F179" s="7">
        <v>0</v>
      </c>
      <c r="G179" s="7">
        <v>0</v>
      </c>
      <c r="H179" s="7">
        <v>1056.1300000000001</v>
      </c>
      <c r="I179" s="13">
        <v>581286</v>
      </c>
      <c r="J179" s="20">
        <v>0</v>
      </c>
      <c r="K179" s="20">
        <f t="shared" si="5"/>
        <v>1056.1300000000001</v>
      </c>
      <c r="L179" s="1"/>
    </row>
    <row r="180" spans="1:12" x14ac:dyDescent="0.25">
      <c r="A180" s="19">
        <v>42458</v>
      </c>
      <c r="B180" s="8" t="s">
        <v>374</v>
      </c>
      <c r="C180" s="8" t="s">
        <v>375</v>
      </c>
      <c r="D180" s="9" t="s">
        <v>24</v>
      </c>
      <c r="E180" s="7">
        <v>3971.61</v>
      </c>
      <c r="F180" s="7">
        <v>0</v>
      </c>
      <c r="G180" s="7">
        <v>0</v>
      </c>
      <c r="H180" s="7">
        <v>3971.61</v>
      </c>
      <c r="I180" s="13">
        <v>582271</v>
      </c>
      <c r="J180" s="20">
        <v>0</v>
      </c>
      <c r="K180" s="20">
        <f t="shared" si="5"/>
        <v>3971.61</v>
      </c>
      <c r="L180" s="1"/>
    </row>
    <row r="181" spans="1:12" x14ac:dyDescent="0.25">
      <c r="A181" s="19">
        <v>42458</v>
      </c>
      <c r="B181" s="8" t="s">
        <v>376</v>
      </c>
      <c r="C181" s="8" t="s">
        <v>377</v>
      </c>
      <c r="D181" s="9" t="s">
        <v>89</v>
      </c>
      <c r="E181" s="7">
        <v>2021.48</v>
      </c>
      <c r="F181" s="7">
        <v>0</v>
      </c>
      <c r="G181" s="7">
        <v>0</v>
      </c>
      <c r="H181" s="7">
        <v>2021.48</v>
      </c>
      <c r="I181" s="13">
        <v>581516</v>
      </c>
      <c r="J181" s="20">
        <v>0</v>
      </c>
      <c r="K181" s="20">
        <f t="shared" si="5"/>
        <v>2021.48</v>
      </c>
      <c r="L181" s="1"/>
    </row>
    <row r="182" spans="1:12" x14ac:dyDescent="0.25">
      <c r="A182" s="19">
        <v>42458</v>
      </c>
      <c r="B182" s="8" t="s">
        <v>378</v>
      </c>
      <c r="C182" s="8" t="s">
        <v>379</v>
      </c>
      <c r="D182" s="9" t="s">
        <v>47</v>
      </c>
      <c r="E182" s="7">
        <v>2267.25</v>
      </c>
      <c r="F182" s="7">
        <v>0</v>
      </c>
      <c r="G182" s="7">
        <v>0</v>
      </c>
      <c r="H182" s="7">
        <v>2267.25</v>
      </c>
      <c r="I182" s="13">
        <v>581027</v>
      </c>
      <c r="J182" s="20">
        <v>0</v>
      </c>
      <c r="K182" s="20">
        <f t="shared" si="5"/>
        <v>2267.25</v>
      </c>
      <c r="L182" s="1"/>
    </row>
    <row r="183" spans="1:12" x14ac:dyDescent="0.25">
      <c r="A183" s="19">
        <v>42458</v>
      </c>
      <c r="B183" s="8" t="s">
        <v>378</v>
      </c>
      <c r="C183" s="8" t="s">
        <v>379</v>
      </c>
      <c r="D183" s="9" t="s">
        <v>47</v>
      </c>
      <c r="E183" s="7">
        <v>1684.74</v>
      </c>
      <c r="F183" s="7">
        <v>0</v>
      </c>
      <c r="G183" s="7">
        <v>0</v>
      </c>
      <c r="H183" s="7">
        <v>1684.74</v>
      </c>
      <c r="I183" s="13">
        <v>581028</v>
      </c>
      <c r="J183" s="20">
        <v>0</v>
      </c>
      <c r="K183" s="20">
        <f t="shared" si="5"/>
        <v>1684.74</v>
      </c>
      <c r="L183" s="1"/>
    </row>
    <row r="184" spans="1:12" x14ac:dyDescent="0.25">
      <c r="A184" s="19">
        <v>42458</v>
      </c>
      <c r="B184" s="8" t="s">
        <v>380</v>
      </c>
      <c r="C184" s="8" t="s">
        <v>381</v>
      </c>
      <c r="D184" s="9" t="s">
        <v>51</v>
      </c>
      <c r="E184" s="7">
        <v>1228.9000000000001</v>
      </c>
      <c r="F184" s="7">
        <v>0</v>
      </c>
      <c r="G184" s="7">
        <v>0</v>
      </c>
      <c r="H184" s="7">
        <v>1228.9000000000001</v>
      </c>
      <c r="I184" s="13">
        <v>581037</v>
      </c>
      <c r="J184" s="20">
        <v>0</v>
      </c>
      <c r="K184" s="20">
        <f t="shared" si="5"/>
        <v>1228.9000000000001</v>
      </c>
      <c r="L184" s="1"/>
    </row>
    <row r="185" spans="1:12" x14ac:dyDescent="0.25">
      <c r="A185" s="19">
        <v>42458</v>
      </c>
      <c r="B185" s="8" t="s">
        <v>382</v>
      </c>
      <c r="C185" s="8" t="s">
        <v>383</v>
      </c>
      <c r="D185" s="9" t="s">
        <v>97</v>
      </c>
      <c r="E185" s="7">
        <v>2080.5300000000002</v>
      </c>
      <c r="F185" s="7">
        <v>0</v>
      </c>
      <c r="G185" s="7">
        <v>0</v>
      </c>
      <c r="H185" s="7">
        <v>2080.5300000000002</v>
      </c>
      <c r="I185" s="13">
        <v>581655</v>
      </c>
      <c r="J185" s="20">
        <v>0</v>
      </c>
      <c r="K185" s="20">
        <f t="shared" si="5"/>
        <v>2080.5300000000002</v>
      </c>
      <c r="L185" s="1"/>
    </row>
    <row r="186" spans="1:12" x14ac:dyDescent="0.25">
      <c r="A186" s="19">
        <v>42458</v>
      </c>
      <c r="B186" s="8" t="s">
        <v>382</v>
      </c>
      <c r="C186" s="8" t="s">
        <v>383</v>
      </c>
      <c r="D186" s="9" t="s">
        <v>97</v>
      </c>
      <c r="E186" s="7">
        <v>593.61</v>
      </c>
      <c r="F186" s="7">
        <v>0</v>
      </c>
      <c r="G186" s="7">
        <v>71.23</v>
      </c>
      <c r="H186" s="7">
        <v>664.84</v>
      </c>
      <c r="I186" s="13">
        <v>581656</v>
      </c>
      <c r="J186" s="20">
        <v>0</v>
      </c>
      <c r="K186" s="20">
        <f t="shared" si="5"/>
        <v>664.84</v>
      </c>
      <c r="L186" s="1"/>
    </row>
    <row r="187" spans="1:12" x14ac:dyDescent="0.25">
      <c r="A187" s="19">
        <v>42458</v>
      </c>
      <c r="B187" s="8" t="s">
        <v>384</v>
      </c>
      <c r="C187" s="8" t="s">
        <v>385</v>
      </c>
      <c r="D187" s="9" t="s">
        <v>32</v>
      </c>
      <c r="E187" s="7">
        <v>2350.11</v>
      </c>
      <c r="F187" s="7">
        <v>0</v>
      </c>
      <c r="G187" s="7">
        <v>0</v>
      </c>
      <c r="H187" s="7">
        <v>2350.11</v>
      </c>
      <c r="I187" s="13">
        <v>581353</v>
      </c>
      <c r="J187" s="20">
        <v>0</v>
      </c>
      <c r="K187" s="20">
        <f t="shared" si="5"/>
        <v>2350.11</v>
      </c>
      <c r="L187" s="1"/>
    </row>
    <row r="188" spans="1:12" x14ac:dyDescent="0.25">
      <c r="A188" s="19">
        <v>42459</v>
      </c>
      <c r="B188" s="8" t="s">
        <v>384</v>
      </c>
      <c r="C188" s="8" t="s">
        <v>385</v>
      </c>
      <c r="D188" s="9" t="s">
        <v>32</v>
      </c>
      <c r="E188" s="7">
        <v>538.51</v>
      </c>
      <c r="F188" s="7">
        <v>0</v>
      </c>
      <c r="G188" s="7">
        <v>0</v>
      </c>
      <c r="H188" s="7">
        <v>538.51</v>
      </c>
      <c r="I188" s="13">
        <v>581355</v>
      </c>
      <c r="J188" s="20">
        <v>0</v>
      </c>
      <c r="K188" s="20">
        <f t="shared" si="5"/>
        <v>538.51</v>
      </c>
      <c r="L188" s="1"/>
    </row>
    <row r="189" spans="1:12" x14ac:dyDescent="0.25">
      <c r="A189" s="19">
        <v>42459</v>
      </c>
      <c r="B189" s="8" t="s">
        <v>384</v>
      </c>
      <c r="C189" s="8" t="s">
        <v>385</v>
      </c>
      <c r="D189" s="9" t="s">
        <v>32</v>
      </c>
      <c r="E189" s="7">
        <v>536.36</v>
      </c>
      <c r="F189" s="7">
        <v>0</v>
      </c>
      <c r="G189" s="7">
        <v>0</v>
      </c>
      <c r="H189" s="7">
        <v>536.36</v>
      </c>
      <c r="I189" s="13">
        <v>581356</v>
      </c>
      <c r="J189" s="20">
        <v>0</v>
      </c>
      <c r="K189" s="20">
        <f t="shared" si="5"/>
        <v>536.36</v>
      </c>
      <c r="L189" s="1"/>
    </row>
    <row r="190" spans="1:12" x14ac:dyDescent="0.25">
      <c r="A190" s="19">
        <v>42459</v>
      </c>
      <c r="B190" s="8" t="s">
        <v>384</v>
      </c>
      <c r="C190" s="8" t="s">
        <v>385</v>
      </c>
      <c r="D190" s="9" t="s">
        <v>32</v>
      </c>
      <c r="E190" s="7">
        <v>469.39</v>
      </c>
      <c r="F190" s="7">
        <v>0</v>
      </c>
      <c r="G190" s="7">
        <v>0</v>
      </c>
      <c r="H190" s="7">
        <v>469.39</v>
      </c>
      <c r="I190" s="13">
        <v>581357</v>
      </c>
      <c r="J190" s="20">
        <v>0</v>
      </c>
      <c r="K190" s="20">
        <f t="shared" si="5"/>
        <v>469.39</v>
      </c>
      <c r="L190" s="1"/>
    </row>
    <row r="191" spans="1:12" x14ac:dyDescent="0.25">
      <c r="A191" s="19">
        <v>42459</v>
      </c>
      <c r="B191" s="8" t="s">
        <v>384</v>
      </c>
      <c r="C191" s="8" t="s">
        <v>385</v>
      </c>
      <c r="D191" s="9" t="s">
        <v>32</v>
      </c>
      <c r="E191" s="7">
        <v>420</v>
      </c>
      <c r="F191" s="7">
        <v>0</v>
      </c>
      <c r="G191" s="7">
        <v>0</v>
      </c>
      <c r="H191" s="7">
        <v>420</v>
      </c>
      <c r="I191" s="13">
        <v>581419</v>
      </c>
      <c r="J191" s="20">
        <v>0</v>
      </c>
      <c r="K191" s="20">
        <f t="shared" si="5"/>
        <v>420</v>
      </c>
      <c r="L191" s="1"/>
    </row>
    <row r="192" spans="1:12" x14ac:dyDescent="0.25">
      <c r="A192" s="19">
        <v>42459</v>
      </c>
      <c r="B192" s="8" t="s">
        <v>384</v>
      </c>
      <c r="C192" s="8" t="s">
        <v>385</v>
      </c>
      <c r="D192" s="9" t="s">
        <v>32</v>
      </c>
      <c r="E192" s="7">
        <v>1379.61</v>
      </c>
      <c r="F192" s="7">
        <v>0</v>
      </c>
      <c r="G192" s="7">
        <v>83.55</v>
      </c>
      <c r="H192" s="7">
        <v>1463.16</v>
      </c>
      <c r="I192" s="13">
        <v>582289</v>
      </c>
      <c r="J192" s="20">
        <v>0</v>
      </c>
      <c r="K192" s="20">
        <f t="shared" si="5"/>
        <v>1463.16</v>
      </c>
      <c r="L192" s="1"/>
    </row>
    <row r="193" spans="1:12" x14ac:dyDescent="0.25">
      <c r="A193" s="19">
        <v>42459</v>
      </c>
      <c r="B193" s="8" t="s">
        <v>384</v>
      </c>
      <c r="C193" s="8" t="s">
        <v>385</v>
      </c>
      <c r="D193" s="9" t="s">
        <v>32</v>
      </c>
      <c r="E193" s="7">
        <v>385.24</v>
      </c>
      <c r="F193" s="7">
        <v>0</v>
      </c>
      <c r="G193" s="7">
        <v>0</v>
      </c>
      <c r="H193" s="7">
        <v>385.24</v>
      </c>
      <c r="I193" s="13">
        <v>582290</v>
      </c>
      <c r="J193" s="20">
        <v>0</v>
      </c>
      <c r="K193" s="20">
        <f t="shared" si="5"/>
        <v>385.24</v>
      </c>
      <c r="L193" s="1"/>
    </row>
    <row r="194" spans="1:12" x14ac:dyDescent="0.25">
      <c r="A194" s="19">
        <v>42459</v>
      </c>
      <c r="B194" s="8" t="s">
        <v>386</v>
      </c>
      <c r="C194" s="8" t="s">
        <v>387</v>
      </c>
      <c r="D194" s="9" t="s">
        <v>111</v>
      </c>
      <c r="E194" s="7">
        <v>1139.1199999999999</v>
      </c>
      <c r="F194" s="7">
        <v>0</v>
      </c>
      <c r="G194" s="7">
        <v>0</v>
      </c>
      <c r="H194" s="7">
        <v>1139.1199999999999</v>
      </c>
      <c r="I194" s="13">
        <v>581838</v>
      </c>
      <c r="J194" s="20">
        <v>0</v>
      </c>
      <c r="K194" s="20">
        <f t="shared" si="5"/>
        <v>1139.1199999999999</v>
      </c>
      <c r="L194" s="1"/>
    </row>
    <row r="195" spans="1:12" x14ac:dyDescent="0.25">
      <c r="A195" s="19">
        <v>42460</v>
      </c>
      <c r="B195" s="8" t="s">
        <v>386</v>
      </c>
      <c r="C195" s="8" t="s">
        <v>387</v>
      </c>
      <c r="D195" s="9" t="s">
        <v>111</v>
      </c>
      <c r="E195" s="7">
        <v>2270.2199999999998</v>
      </c>
      <c r="F195" s="7">
        <v>0</v>
      </c>
      <c r="G195" s="7">
        <v>0</v>
      </c>
      <c r="H195" s="7">
        <v>2270.2199999999998</v>
      </c>
      <c r="I195" s="13">
        <v>581839</v>
      </c>
      <c r="J195" s="20">
        <v>0</v>
      </c>
      <c r="K195" s="20">
        <f t="shared" si="5"/>
        <v>2270.2199999999998</v>
      </c>
      <c r="L195" s="1"/>
    </row>
    <row r="196" spans="1:12" x14ac:dyDescent="0.25">
      <c r="A196" s="19">
        <v>42460</v>
      </c>
      <c r="B196" s="8" t="s">
        <v>388</v>
      </c>
      <c r="C196" s="8" t="s">
        <v>389</v>
      </c>
      <c r="D196" s="9" t="s">
        <v>134</v>
      </c>
      <c r="E196" s="7">
        <v>719.39</v>
      </c>
      <c r="F196" s="7">
        <v>0</v>
      </c>
      <c r="G196" s="7">
        <v>0</v>
      </c>
      <c r="H196" s="7">
        <v>719.39</v>
      </c>
      <c r="I196" s="13">
        <v>582239</v>
      </c>
      <c r="J196" s="20">
        <v>0</v>
      </c>
      <c r="K196" s="20">
        <f t="shared" si="5"/>
        <v>719.39</v>
      </c>
      <c r="L196" s="1"/>
    </row>
    <row r="197" spans="1:12" x14ac:dyDescent="0.25">
      <c r="A197" s="19">
        <v>42460</v>
      </c>
      <c r="B197" s="8" t="s">
        <v>390</v>
      </c>
      <c r="C197" s="8" t="s">
        <v>391</v>
      </c>
      <c r="D197" s="9" t="s">
        <v>107</v>
      </c>
      <c r="E197" s="7">
        <v>3166.92</v>
      </c>
      <c r="F197" s="7">
        <v>0</v>
      </c>
      <c r="G197" s="7">
        <v>0</v>
      </c>
      <c r="H197" s="7">
        <v>3166.92</v>
      </c>
      <c r="I197" s="13">
        <v>581767</v>
      </c>
      <c r="J197" s="20">
        <v>0</v>
      </c>
      <c r="K197" s="20">
        <f t="shared" si="5"/>
        <v>3166.92</v>
      </c>
      <c r="L197" s="1"/>
    </row>
    <row r="198" spans="1:12" x14ac:dyDescent="0.25">
      <c r="A198" s="19">
        <v>42460</v>
      </c>
      <c r="B198" s="8" t="s">
        <v>392</v>
      </c>
      <c r="C198" s="8" t="s">
        <v>393</v>
      </c>
      <c r="D198" s="9" t="s">
        <v>82</v>
      </c>
      <c r="E198" s="7">
        <v>3347.47</v>
      </c>
      <c r="F198" s="7">
        <v>0</v>
      </c>
      <c r="G198" s="7">
        <v>0</v>
      </c>
      <c r="H198" s="7">
        <v>3347.47</v>
      </c>
      <c r="I198" s="13">
        <v>581491</v>
      </c>
      <c r="J198" s="20">
        <v>0</v>
      </c>
      <c r="K198" s="20">
        <f t="shared" si="5"/>
        <v>3347.47</v>
      </c>
      <c r="L198" s="1"/>
    </row>
    <row r="199" spans="1:12" x14ac:dyDescent="0.25">
      <c r="A199" s="19">
        <v>42460</v>
      </c>
      <c r="B199" s="8" t="s">
        <v>392</v>
      </c>
      <c r="C199" s="8" t="s">
        <v>393</v>
      </c>
      <c r="D199" s="9" t="s">
        <v>82</v>
      </c>
      <c r="E199" s="7">
        <v>883.2</v>
      </c>
      <c r="F199" s="7">
        <v>0</v>
      </c>
      <c r="G199" s="7">
        <v>79.25</v>
      </c>
      <c r="H199" s="7">
        <v>962.45</v>
      </c>
      <c r="I199" s="13">
        <v>581492</v>
      </c>
      <c r="J199" s="20">
        <v>0</v>
      </c>
      <c r="K199" s="20">
        <f t="shared" si="5"/>
        <v>962.45</v>
      </c>
      <c r="L199" s="1"/>
    </row>
    <row r="200" spans="1:12" x14ac:dyDescent="0.25">
      <c r="A200" s="19">
        <v>42460</v>
      </c>
      <c r="B200" s="8" t="s">
        <v>394</v>
      </c>
      <c r="C200" s="8" t="s">
        <v>395</v>
      </c>
      <c r="D200" s="9" t="s">
        <v>116</v>
      </c>
      <c r="E200" s="7">
        <v>2936.56</v>
      </c>
      <c r="F200" s="7">
        <v>0</v>
      </c>
      <c r="G200" s="7">
        <v>0</v>
      </c>
      <c r="H200" s="7">
        <v>2936.56</v>
      </c>
      <c r="I200" s="13">
        <v>581917</v>
      </c>
      <c r="J200" s="20">
        <v>0</v>
      </c>
      <c r="K200" s="20">
        <f t="shared" ref="K200:K231" si="6">H200-J200</f>
        <v>2936.56</v>
      </c>
      <c r="L200" s="1"/>
    </row>
    <row r="201" spans="1:12" x14ac:dyDescent="0.25">
      <c r="A201" s="19">
        <v>42460</v>
      </c>
      <c r="B201" s="8" t="s">
        <v>394</v>
      </c>
      <c r="C201" s="8" t="s">
        <v>395</v>
      </c>
      <c r="D201" s="9" t="s">
        <v>116</v>
      </c>
      <c r="E201" s="7">
        <v>2169.7199999999998</v>
      </c>
      <c r="F201" s="7">
        <v>0</v>
      </c>
      <c r="G201" s="7">
        <v>0</v>
      </c>
      <c r="H201" s="7">
        <v>2169.7199999999998</v>
      </c>
      <c r="I201" s="13">
        <v>582561</v>
      </c>
      <c r="J201" s="20">
        <v>0</v>
      </c>
      <c r="K201" s="20">
        <f t="shared" si="6"/>
        <v>2169.7199999999998</v>
      </c>
      <c r="L201" s="1"/>
    </row>
    <row r="202" spans="1:12" x14ac:dyDescent="0.25">
      <c r="A202" s="19">
        <v>42460</v>
      </c>
      <c r="B202" s="8" t="s">
        <v>396</v>
      </c>
      <c r="C202" s="8" t="s">
        <v>397</v>
      </c>
      <c r="D202" s="9" t="s">
        <v>33</v>
      </c>
      <c r="E202" s="7">
        <v>1701.88</v>
      </c>
      <c r="F202" s="7">
        <v>0</v>
      </c>
      <c r="G202" s="7">
        <v>0</v>
      </c>
      <c r="H202" s="7">
        <v>1701.88</v>
      </c>
      <c r="I202" s="13">
        <v>581359</v>
      </c>
      <c r="J202" s="20">
        <v>0</v>
      </c>
      <c r="K202" s="20">
        <f t="shared" si="6"/>
        <v>1701.88</v>
      </c>
      <c r="L202" s="1"/>
    </row>
    <row r="203" spans="1:12" x14ac:dyDescent="0.25">
      <c r="A203" s="19">
        <v>42460</v>
      </c>
      <c r="B203" s="8" t="s">
        <v>396</v>
      </c>
      <c r="C203" s="8" t="s">
        <v>397</v>
      </c>
      <c r="D203" s="9" t="s">
        <v>33</v>
      </c>
      <c r="E203" s="7">
        <v>1191.76</v>
      </c>
      <c r="F203" s="7">
        <v>0</v>
      </c>
      <c r="G203" s="7">
        <v>0</v>
      </c>
      <c r="H203" s="7">
        <v>1191.76</v>
      </c>
      <c r="I203" s="13">
        <v>582647</v>
      </c>
      <c r="J203" s="20">
        <v>0</v>
      </c>
      <c r="K203" s="20">
        <f t="shared" si="6"/>
        <v>1191.76</v>
      </c>
      <c r="L203" s="1"/>
    </row>
    <row r="204" spans="1:12" x14ac:dyDescent="0.25">
      <c r="A204" s="19">
        <v>42460</v>
      </c>
      <c r="B204" s="8" t="s">
        <v>398</v>
      </c>
      <c r="C204" s="8" t="s">
        <v>399</v>
      </c>
      <c r="D204" s="9" t="s">
        <v>113</v>
      </c>
      <c r="E204" s="7">
        <v>2144.94</v>
      </c>
      <c r="F204" s="7">
        <v>0</v>
      </c>
      <c r="G204" s="7">
        <v>67.709999999999994</v>
      </c>
      <c r="H204" s="7">
        <v>2212.65</v>
      </c>
      <c r="I204" s="13">
        <v>581854</v>
      </c>
      <c r="J204" s="20">
        <v>0</v>
      </c>
      <c r="K204" s="20">
        <f t="shared" si="6"/>
        <v>2212.65</v>
      </c>
      <c r="L204" s="1"/>
    </row>
    <row r="205" spans="1:12" x14ac:dyDescent="0.25">
      <c r="A205" s="19">
        <v>42460</v>
      </c>
      <c r="B205" s="8" t="s">
        <v>400</v>
      </c>
      <c r="C205" s="8" t="s">
        <v>401</v>
      </c>
      <c r="D205" s="9" t="s">
        <v>91</v>
      </c>
      <c r="E205" s="7">
        <v>1591.45</v>
      </c>
      <c r="F205" s="7">
        <v>0</v>
      </c>
      <c r="G205" s="7">
        <v>0</v>
      </c>
      <c r="H205" s="7">
        <v>1591.45</v>
      </c>
      <c r="I205" s="13">
        <v>581549</v>
      </c>
      <c r="J205" s="20">
        <v>0</v>
      </c>
      <c r="K205" s="20">
        <f t="shared" si="6"/>
        <v>1591.45</v>
      </c>
      <c r="L205" s="1"/>
    </row>
    <row r="206" spans="1:12" x14ac:dyDescent="0.25">
      <c r="A206" s="19">
        <v>42460</v>
      </c>
      <c r="B206" s="8" t="s">
        <v>400</v>
      </c>
      <c r="C206" s="8" t="s">
        <v>401</v>
      </c>
      <c r="D206" s="9" t="s">
        <v>91</v>
      </c>
      <c r="E206" s="7">
        <v>712.59</v>
      </c>
      <c r="F206" s="7">
        <v>0</v>
      </c>
      <c r="G206" s="7">
        <v>0</v>
      </c>
      <c r="H206" s="7">
        <v>712.59</v>
      </c>
      <c r="I206" s="13">
        <v>581662</v>
      </c>
      <c r="J206" s="20">
        <v>0</v>
      </c>
      <c r="K206" s="20">
        <f t="shared" si="6"/>
        <v>712.59</v>
      </c>
      <c r="L206" s="1"/>
    </row>
    <row r="207" spans="1:12" x14ac:dyDescent="0.25">
      <c r="A207" s="19">
        <v>42460</v>
      </c>
      <c r="B207" s="8" t="s">
        <v>402</v>
      </c>
      <c r="C207" s="8" t="s">
        <v>403</v>
      </c>
      <c r="D207" s="9" t="s">
        <v>137</v>
      </c>
      <c r="E207" s="7">
        <v>677.69</v>
      </c>
      <c r="F207" s="7">
        <v>0</v>
      </c>
      <c r="G207" s="7">
        <v>0</v>
      </c>
      <c r="H207" s="7">
        <v>677.69</v>
      </c>
      <c r="I207" s="13">
        <v>582407</v>
      </c>
      <c r="J207" s="20">
        <v>0</v>
      </c>
      <c r="K207" s="20">
        <f t="shared" si="6"/>
        <v>677.69</v>
      </c>
      <c r="L207" s="1"/>
    </row>
    <row r="208" spans="1:12" x14ac:dyDescent="0.25">
      <c r="E208" s="24">
        <f t="shared" ref="E208:J208" si="7">SUM(E8:E207)</f>
        <v>310134.0400000001</v>
      </c>
      <c r="F208" s="24">
        <f t="shared" si="7"/>
        <v>0</v>
      </c>
      <c r="G208" s="24">
        <f t="shared" si="7"/>
        <v>4457.9799999999996</v>
      </c>
      <c r="H208" s="24">
        <f t="shared" si="7"/>
        <v>314622.02000000014</v>
      </c>
      <c r="I208" s="24"/>
      <c r="J208" s="24">
        <f t="shared" si="7"/>
        <v>0</v>
      </c>
      <c r="K208" s="24">
        <f>SUM(K8:K207)</f>
        <v>314622.02000000014</v>
      </c>
    </row>
    <row r="209" spans="1:11" ht="20.25" customHeight="1" x14ac:dyDescent="0.25">
      <c r="A209" s="1"/>
      <c r="B209" s="22"/>
      <c r="C209" s="72" t="s">
        <v>19</v>
      </c>
      <c r="D209" s="72"/>
      <c r="E209" s="72"/>
      <c r="F209" s="72"/>
      <c r="G209" s="72"/>
      <c r="H209" s="47">
        <f>K208</f>
        <v>314622.02000000014</v>
      </c>
      <c r="I209" s="47"/>
      <c r="J209" s="47"/>
      <c r="K209" s="47"/>
    </row>
    <row r="210" spans="1:11" ht="17.25" customHeight="1" x14ac:dyDescent="0.25">
      <c r="A210" s="1"/>
      <c r="B210" s="22"/>
      <c r="C210" s="72"/>
      <c r="D210" s="72"/>
      <c r="E210" s="72"/>
      <c r="F210" s="72"/>
      <c r="G210" s="72"/>
      <c r="H210" s="47"/>
      <c r="I210" s="47"/>
      <c r="J210" s="47"/>
      <c r="K210" s="47"/>
    </row>
    <row r="211" spans="1:11" x14ac:dyDescent="0.25">
      <c r="A211" s="2"/>
      <c r="B211" s="54" t="s">
        <v>12</v>
      </c>
      <c r="C211" s="55"/>
      <c r="D211" s="56"/>
      <c r="E211" s="57" t="s">
        <v>13</v>
      </c>
      <c r="F211" s="58"/>
      <c r="G211" s="58"/>
      <c r="H211" s="59"/>
      <c r="I211" s="3"/>
    </row>
    <row r="212" spans="1:11" x14ac:dyDescent="0.25">
      <c r="A212" s="2"/>
      <c r="B212" s="60"/>
      <c r="C212" s="61"/>
      <c r="D212" s="62"/>
      <c r="E212" s="66"/>
      <c r="F212" s="67"/>
      <c r="G212" s="67"/>
      <c r="H212" s="68"/>
      <c r="I212" s="3"/>
    </row>
    <row r="213" spans="1:11" x14ac:dyDescent="0.25">
      <c r="A213" s="1"/>
      <c r="B213" s="63"/>
      <c r="C213" s="64"/>
      <c r="D213" s="65"/>
      <c r="E213" s="69"/>
      <c r="F213" s="70"/>
      <c r="G213" s="70"/>
      <c r="H213" s="71"/>
      <c r="I213" s="1"/>
    </row>
    <row r="214" spans="1:11" x14ac:dyDescent="0.25">
      <c r="A214" s="1"/>
      <c r="B214" s="48" t="s">
        <v>14</v>
      </c>
      <c r="C214" s="49"/>
      <c r="D214" s="50"/>
      <c r="E214" s="51" t="s">
        <v>15</v>
      </c>
      <c r="F214" s="52"/>
      <c r="G214" s="52"/>
      <c r="H214" s="53"/>
      <c r="I214" s="1"/>
    </row>
  </sheetData>
  <sortState ref="D8:K208">
    <sortCondition ref="D8"/>
  </sortState>
  <mergeCells count="14">
    <mergeCell ref="H209:K210"/>
    <mergeCell ref="B214:D214"/>
    <mergeCell ref="E214:H214"/>
    <mergeCell ref="B211:D211"/>
    <mergeCell ref="E211:H211"/>
    <mergeCell ref="B212:D213"/>
    <mergeCell ref="E212:H213"/>
    <mergeCell ref="C209:G210"/>
    <mergeCell ref="A6:K6"/>
    <mergeCell ref="A1:K1"/>
    <mergeCell ref="A2:K2"/>
    <mergeCell ref="A3:K3"/>
    <mergeCell ref="A4:K4"/>
    <mergeCell ref="A5:K5"/>
  </mergeCells>
  <printOptions horizontalCentered="1"/>
  <pageMargins left="0" right="0" top="0" bottom="0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0"/>
  <sheetViews>
    <sheetView tabSelected="1" topLeftCell="A189" workbookViewId="0">
      <selection activeCell="C204" sqref="C204"/>
    </sheetView>
  </sheetViews>
  <sheetFormatPr baseColWidth="10" defaultRowHeight="15" x14ac:dyDescent="0.25"/>
  <sheetData>
    <row r="1" spans="1:5" x14ac:dyDescent="0.25">
      <c r="A1" t="str">
        <f>CONCATENATE("V",'CAPPO CORREO'!B8)</f>
        <v>V14375299</v>
      </c>
      <c r="B1" t="str">
        <f>+'CAPPO CORREO'!D8</f>
        <v>ABARCA LUCENA ERICK</v>
      </c>
      <c r="C1">
        <f>+'CAPPO CORREO'!K8</f>
        <v>1211.03</v>
      </c>
      <c r="D1">
        <v>0</v>
      </c>
      <c r="E1">
        <f>+Hoja1!C1</f>
        <v>1211.03</v>
      </c>
    </row>
    <row r="2" spans="1:5" x14ac:dyDescent="0.25">
      <c r="A2" t="str">
        <f>CONCATENATE("V",'CAPPO CORREO'!B9)</f>
        <v>V2186056</v>
      </c>
      <c r="B2" t="str">
        <f>+'CAPPO CORREO'!D9</f>
        <v>ALVARADO  PEDRO</v>
      </c>
      <c r="C2">
        <f>+'CAPPO CORREO'!K9</f>
        <v>207.8</v>
      </c>
      <c r="D2">
        <v>0</v>
      </c>
      <c r="E2">
        <f>+Hoja1!C2</f>
        <v>207.8</v>
      </c>
    </row>
    <row r="3" spans="1:5" x14ac:dyDescent="0.25">
      <c r="A3" t="str">
        <f>CONCATENATE("V",'CAPPO CORREO'!B10)</f>
        <v>V2186056</v>
      </c>
      <c r="B3" t="str">
        <f>+'CAPPO CORREO'!D10</f>
        <v>ALVARADO  PEDRO</v>
      </c>
      <c r="C3">
        <f>+'CAPPO CORREO'!K10</f>
        <v>1633.83</v>
      </c>
      <c r="D3">
        <v>0</v>
      </c>
      <c r="E3">
        <f>+Hoja1!C3</f>
        <v>1633.83</v>
      </c>
    </row>
    <row r="4" spans="1:5" x14ac:dyDescent="0.25">
      <c r="A4" t="str">
        <f>CONCATENATE("V",'CAPPO CORREO'!B11)</f>
        <v>V10784623</v>
      </c>
      <c r="B4" t="str">
        <f>+'CAPPO CORREO'!D11</f>
        <v>ALVARADO  RAMON</v>
      </c>
      <c r="C4">
        <f>+'CAPPO CORREO'!K11</f>
        <v>2382.7399999999998</v>
      </c>
      <c r="D4">
        <v>0</v>
      </c>
      <c r="E4">
        <f>+Hoja1!C4</f>
        <v>2382.7399999999998</v>
      </c>
    </row>
    <row r="5" spans="1:5" x14ac:dyDescent="0.25">
      <c r="A5" t="str">
        <f>CONCATENATE("V",'CAPPO CORREO'!B12)</f>
        <v>V10784623</v>
      </c>
      <c r="B5" t="str">
        <f>+'CAPPO CORREO'!D12</f>
        <v>ALVARADO  RAMON</v>
      </c>
      <c r="C5">
        <f>+'CAPPO CORREO'!K12</f>
        <v>1091.8499999999999</v>
      </c>
      <c r="D5">
        <v>0</v>
      </c>
      <c r="E5">
        <f>+Hoja1!C5</f>
        <v>1091.8499999999999</v>
      </c>
    </row>
    <row r="6" spans="1:5" x14ac:dyDescent="0.25">
      <c r="A6" t="str">
        <f>CONCATENATE("V",'CAPPO CORREO'!B13)</f>
        <v>V4067795</v>
      </c>
      <c r="B6" t="str">
        <f>+'CAPPO CORREO'!D13</f>
        <v>ALVAREZ HERNANDEZ PA</v>
      </c>
      <c r="C6">
        <f>+'CAPPO CORREO'!K13</f>
        <v>375.24</v>
      </c>
      <c r="D6">
        <v>0</v>
      </c>
      <c r="E6">
        <f>+Hoja1!C6</f>
        <v>375.24</v>
      </c>
    </row>
    <row r="7" spans="1:5" x14ac:dyDescent="0.25">
      <c r="A7" t="str">
        <f>CONCATENATE("V",'CAPPO CORREO'!B14)</f>
        <v>V4067795</v>
      </c>
      <c r="B7" t="str">
        <f>+'CAPPO CORREO'!D14</f>
        <v>ALVAREZ HERNANDEZ PA</v>
      </c>
      <c r="C7">
        <f>+'CAPPO CORREO'!K14</f>
        <v>637.64</v>
      </c>
      <c r="D7">
        <v>0</v>
      </c>
      <c r="E7">
        <f>+Hoja1!C7</f>
        <v>637.64</v>
      </c>
    </row>
    <row r="8" spans="1:5" x14ac:dyDescent="0.25">
      <c r="A8" t="str">
        <f>CONCATENATE("V",'CAPPO CORREO'!B15)</f>
        <v>V4067795</v>
      </c>
      <c r="B8" t="str">
        <f>+'CAPPO CORREO'!D15</f>
        <v>ALVAREZ HERNANDEZ PA</v>
      </c>
      <c r="C8">
        <f>+'CAPPO CORREO'!K15</f>
        <v>2350.11</v>
      </c>
      <c r="D8">
        <v>0</v>
      </c>
      <c r="E8">
        <f>+Hoja1!C8</f>
        <v>2350.11</v>
      </c>
    </row>
    <row r="9" spans="1:5" x14ac:dyDescent="0.25">
      <c r="A9" t="str">
        <f>CONCATENATE("V",'CAPPO CORREO'!B16)</f>
        <v>V18785684</v>
      </c>
      <c r="B9" t="str">
        <f>+'CAPPO CORREO'!D16</f>
        <v>ALVAREZ NINOSKA</v>
      </c>
      <c r="C9">
        <f>+'CAPPO CORREO'!K16</f>
        <v>2400.31</v>
      </c>
      <c r="D9">
        <v>0</v>
      </c>
      <c r="E9">
        <f>+Hoja1!C9</f>
        <v>2400.31</v>
      </c>
    </row>
    <row r="10" spans="1:5" x14ac:dyDescent="0.25">
      <c r="A10" t="str">
        <f>CONCATENATE("V",'CAPPO CORREO'!B17)</f>
        <v>V18785684</v>
      </c>
      <c r="B10" t="str">
        <f>+'CAPPO CORREO'!D17</f>
        <v>ALVAREZ NINOSKA</v>
      </c>
      <c r="C10">
        <f>+'CAPPO CORREO'!K17</f>
        <v>420</v>
      </c>
      <c r="D10">
        <v>0</v>
      </c>
      <c r="E10">
        <f>+Hoja1!C10</f>
        <v>420</v>
      </c>
    </row>
    <row r="11" spans="1:5" x14ac:dyDescent="0.25">
      <c r="A11" t="str">
        <f>CONCATENATE("V",'CAPPO CORREO'!B18)</f>
        <v>V18785684</v>
      </c>
      <c r="B11" t="str">
        <f>+'CAPPO CORREO'!D18</f>
        <v>ALVAREZ NINOSKA</v>
      </c>
      <c r="C11">
        <f>+'CAPPO CORREO'!K18</f>
        <v>1056.1300000000001</v>
      </c>
      <c r="D11">
        <v>0</v>
      </c>
      <c r="E11">
        <f>+Hoja1!C11</f>
        <v>1056.1300000000001</v>
      </c>
    </row>
    <row r="12" spans="1:5" x14ac:dyDescent="0.25">
      <c r="A12" t="str">
        <f>CONCATENATE("V",'CAPPO CORREO'!B19)</f>
        <v>V18785684</v>
      </c>
      <c r="B12" t="str">
        <f>+'CAPPO CORREO'!D19</f>
        <v>ALVAREZ NINOSKA</v>
      </c>
      <c r="C12">
        <f>+'CAPPO CORREO'!K19</f>
        <v>7841.94</v>
      </c>
      <c r="D12">
        <v>0</v>
      </c>
      <c r="E12">
        <f>+Hoja1!C12</f>
        <v>7841.94</v>
      </c>
    </row>
    <row r="13" spans="1:5" x14ac:dyDescent="0.25">
      <c r="A13" t="str">
        <f>CONCATENATE("V",'CAPPO CORREO'!B20)</f>
        <v>V12702301</v>
      </c>
      <c r="B13" t="str">
        <f>+'CAPPO CORREO'!D20</f>
        <v>AMARO PABLO</v>
      </c>
      <c r="C13">
        <f>+'CAPPO CORREO'!K20</f>
        <v>352</v>
      </c>
      <c r="D13">
        <v>0</v>
      </c>
      <c r="E13">
        <f>+Hoja1!C13</f>
        <v>352</v>
      </c>
    </row>
    <row r="14" spans="1:5" x14ac:dyDescent="0.25">
      <c r="A14" t="str">
        <f>CONCATENATE("V",'CAPPO CORREO'!B21)</f>
        <v>V13180551</v>
      </c>
      <c r="B14" t="str">
        <f>+'CAPPO CORREO'!D21</f>
        <v>ANDRADE FREDDY</v>
      </c>
      <c r="C14">
        <f>+'CAPPO CORREO'!K21</f>
        <v>2712.81</v>
      </c>
      <c r="D14">
        <v>0</v>
      </c>
      <c r="E14">
        <f>+Hoja1!C14</f>
        <v>2712.81</v>
      </c>
    </row>
    <row r="15" spans="1:5" x14ac:dyDescent="0.25">
      <c r="A15" t="str">
        <f>CONCATENATE("V",'CAPPO CORREO'!B22)</f>
        <v>V13180551</v>
      </c>
      <c r="B15" t="str">
        <f>+'CAPPO CORREO'!D22</f>
        <v>ANDRADE FREDDY</v>
      </c>
      <c r="C15">
        <f>+'CAPPO CORREO'!K22</f>
        <v>397.79</v>
      </c>
      <c r="D15">
        <v>0</v>
      </c>
      <c r="E15">
        <f>+Hoja1!C15</f>
        <v>397.79</v>
      </c>
    </row>
    <row r="16" spans="1:5" x14ac:dyDescent="0.25">
      <c r="A16" t="str">
        <f>CONCATENATE("V",'CAPPO CORREO'!B23)</f>
        <v>V2910376</v>
      </c>
      <c r="B16" t="str">
        <f>+'CAPPO CORREO'!D23</f>
        <v>ANGULO  ANA</v>
      </c>
      <c r="C16">
        <f>+'CAPPO CORREO'!K23</f>
        <v>1224.1099999999999</v>
      </c>
      <c r="D16">
        <v>0</v>
      </c>
      <c r="E16">
        <f>+Hoja1!C16</f>
        <v>1224.1099999999999</v>
      </c>
    </row>
    <row r="17" spans="1:5" x14ac:dyDescent="0.25">
      <c r="A17" t="str">
        <f>CONCATENATE("V",'CAPPO CORREO'!B24)</f>
        <v>V11269196</v>
      </c>
      <c r="B17" t="str">
        <f>+'CAPPO CORREO'!D24</f>
        <v>ANZOLA BLADIMIR</v>
      </c>
      <c r="C17">
        <f>+'CAPPO CORREO'!K24</f>
        <v>374.75</v>
      </c>
      <c r="D17">
        <v>0</v>
      </c>
      <c r="E17">
        <f>+Hoja1!C17</f>
        <v>374.75</v>
      </c>
    </row>
    <row r="18" spans="1:5" x14ac:dyDescent="0.25">
      <c r="A18" t="str">
        <f>CONCATENATE("V",'CAPPO CORREO'!B25)</f>
        <v>V12848719</v>
      </c>
      <c r="B18" t="str">
        <f>+'CAPPO CORREO'!D25</f>
        <v>ARRIECHE P. SILVIO</v>
      </c>
      <c r="C18">
        <f>+'CAPPO CORREO'!K25</f>
        <v>3248.11</v>
      </c>
      <c r="D18">
        <v>0</v>
      </c>
      <c r="E18">
        <f>+Hoja1!C18</f>
        <v>3248.11</v>
      </c>
    </row>
    <row r="19" spans="1:5" x14ac:dyDescent="0.25">
      <c r="A19" t="str">
        <f>CONCATENATE("V",'CAPPO CORREO'!B26)</f>
        <v>V12242270</v>
      </c>
      <c r="B19" t="str">
        <f>+'CAPPO CORREO'!D26</f>
        <v>ARRIETA BERTIZ DEIVY</v>
      </c>
      <c r="C19">
        <f>+'CAPPO CORREO'!K26</f>
        <v>1324.46</v>
      </c>
      <c r="D19">
        <v>0</v>
      </c>
      <c r="E19">
        <f>+Hoja1!C19</f>
        <v>1324.46</v>
      </c>
    </row>
    <row r="20" spans="1:5" x14ac:dyDescent="0.25">
      <c r="A20" t="str">
        <f>CONCATENATE("V",'CAPPO CORREO'!B27)</f>
        <v>V17104709</v>
      </c>
      <c r="B20" t="str">
        <f>+'CAPPO CORREO'!D27</f>
        <v>BARRIO B. PATRICIA</v>
      </c>
      <c r="C20">
        <f>+'CAPPO CORREO'!K27</f>
        <v>651.72</v>
      </c>
      <c r="D20">
        <v>0</v>
      </c>
      <c r="E20">
        <f>+Hoja1!C20</f>
        <v>651.72</v>
      </c>
    </row>
    <row r="21" spans="1:5" x14ac:dyDescent="0.25">
      <c r="A21" t="str">
        <f>CONCATENATE("V",'CAPPO CORREO'!B28)</f>
        <v>V7377030</v>
      </c>
      <c r="B21" t="str">
        <f>+'CAPPO CORREO'!D28</f>
        <v>BARRIOS RODRIGUEZ NI</v>
      </c>
      <c r="C21">
        <f>+'CAPPO CORREO'!K28</f>
        <v>1595.87</v>
      </c>
      <c r="D21">
        <v>0</v>
      </c>
      <c r="E21">
        <f>+Hoja1!C21</f>
        <v>1595.87</v>
      </c>
    </row>
    <row r="22" spans="1:5" x14ac:dyDescent="0.25">
      <c r="A22" t="str">
        <f>CONCATENATE("V",'CAPPO CORREO'!B29)</f>
        <v>V7377030</v>
      </c>
      <c r="B22" t="str">
        <f>+'CAPPO CORREO'!D29</f>
        <v>BARRIOS RODRIGUEZ NI</v>
      </c>
      <c r="C22">
        <f>+'CAPPO CORREO'!K29</f>
        <v>1636.81</v>
      </c>
      <c r="D22">
        <v>0</v>
      </c>
      <c r="E22">
        <f>+Hoja1!C22</f>
        <v>1636.81</v>
      </c>
    </row>
    <row r="23" spans="1:5" x14ac:dyDescent="0.25">
      <c r="A23" t="str">
        <f>CONCATENATE("V",'CAPPO CORREO'!B30)</f>
        <v>V7377030</v>
      </c>
      <c r="B23" t="str">
        <f>+'CAPPO CORREO'!D30</f>
        <v>BARRIOS RODRIGUEZ NI</v>
      </c>
      <c r="C23">
        <f>+'CAPPO CORREO'!K30</f>
        <v>6031.72</v>
      </c>
      <c r="D23">
        <v>0</v>
      </c>
      <c r="E23">
        <f>+Hoja1!C23</f>
        <v>6031.72</v>
      </c>
    </row>
    <row r="24" spans="1:5" x14ac:dyDescent="0.25">
      <c r="A24" t="str">
        <f>CONCATENATE("V",'CAPPO CORREO'!B31)</f>
        <v>V20046577</v>
      </c>
      <c r="B24" t="str">
        <f>+'CAPPO CORREO'!D31</f>
        <v>BELLO C. CRISTIAN R.</v>
      </c>
      <c r="C24">
        <f>+'CAPPO CORREO'!K31</f>
        <v>332</v>
      </c>
      <c r="D24">
        <v>0</v>
      </c>
      <c r="E24">
        <f>+Hoja1!C24</f>
        <v>332</v>
      </c>
    </row>
    <row r="25" spans="1:5" x14ac:dyDescent="0.25">
      <c r="A25" t="str">
        <f>CONCATENATE("V",'CAPPO CORREO'!B32)</f>
        <v>V20046584</v>
      </c>
      <c r="B25" t="str">
        <f>+'CAPPO CORREO'!D32</f>
        <v>BELLO CALANCHE KENDE</v>
      </c>
      <c r="C25">
        <f>+'CAPPO CORREO'!K32</f>
        <v>704.73</v>
      </c>
      <c r="D25">
        <v>0</v>
      </c>
      <c r="E25">
        <f>+Hoja1!C25</f>
        <v>704.73</v>
      </c>
    </row>
    <row r="26" spans="1:5" x14ac:dyDescent="0.25">
      <c r="A26" t="str">
        <f>CONCATENATE("V",'CAPPO CORREO'!B33)</f>
        <v>V7344290</v>
      </c>
      <c r="B26" t="str">
        <f>+'CAPPO CORREO'!D33</f>
        <v>BELLO LAYA JULIO</v>
      </c>
      <c r="C26">
        <f>+'CAPPO CORREO'!K33</f>
        <v>541.04</v>
      </c>
      <c r="D26">
        <v>0</v>
      </c>
      <c r="E26">
        <f>+Hoja1!C26</f>
        <v>541.04</v>
      </c>
    </row>
    <row r="27" spans="1:5" x14ac:dyDescent="0.25">
      <c r="A27" t="str">
        <f>CONCATENATE("V",'CAPPO CORREO'!B34)</f>
        <v>V9544827</v>
      </c>
      <c r="B27" t="str">
        <f>+'CAPPO CORREO'!D34</f>
        <v>BRICEÑO  JORGE</v>
      </c>
      <c r="C27">
        <f>+'CAPPO CORREO'!K34</f>
        <v>704.86</v>
      </c>
      <c r="D27">
        <v>0</v>
      </c>
      <c r="E27">
        <f>+Hoja1!C27</f>
        <v>704.86</v>
      </c>
    </row>
    <row r="28" spans="1:5" x14ac:dyDescent="0.25">
      <c r="A28" t="str">
        <f>CONCATENATE("V",'CAPPO CORREO'!B35)</f>
        <v>V3878006</v>
      </c>
      <c r="B28" t="str">
        <f>+'CAPPO CORREO'!D35</f>
        <v>BULLONES V,ABEL PAST</v>
      </c>
      <c r="C28">
        <f>+'CAPPO CORREO'!K35</f>
        <v>645.96</v>
      </c>
      <c r="D28">
        <v>0</v>
      </c>
      <c r="E28">
        <f>+Hoja1!C28</f>
        <v>645.96</v>
      </c>
    </row>
    <row r="29" spans="1:5" x14ac:dyDescent="0.25">
      <c r="A29" t="str">
        <f>CONCATENATE("V",'CAPPO CORREO'!B36)</f>
        <v>V9620720</v>
      </c>
      <c r="B29" t="str">
        <f>+'CAPPO CORREO'!D36</f>
        <v>CARMONA HORACIO</v>
      </c>
      <c r="C29">
        <f>+'CAPPO CORREO'!K36</f>
        <v>1135.1500000000001</v>
      </c>
      <c r="D29">
        <v>0</v>
      </c>
      <c r="E29">
        <f>+Hoja1!C29</f>
        <v>1135.1500000000001</v>
      </c>
    </row>
    <row r="30" spans="1:5" x14ac:dyDescent="0.25">
      <c r="A30" t="str">
        <f>CONCATENATE("V",'CAPPO CORREO'!B37)</f>
        <v>V9620720</v>
      </c>
      <c r="B30" t="str">
        <f>+'CAPPO CORREO'!D37</f>
        <v>CARMONA HORACIO</v>
      </c>
      <c r="C30">
        <f>+'CAPPO CORREO'!K37</f>
        <v>797.67</v>
      </c>
      <c r="D30">
        <v>0</v>
      </c>
      <c r="E30">
        <f>+Hoja1!C30</f>
        <v>797.67</v>
      </c>
    </row>
    <row r="31" spans="1:5" x14ac:dyDescent="0.25">
      <c r="A31" t="str">
        <f>CONCATENATE("V",'CAPPO CORREO'!B38)</f>
        <v>V9620720</v>
      </c>
      <c r="B31" t="str">
        <f>+'CAPPO CORREO'!D38</f>
        <v>CARMONA HORACIO</v>
      </c>
      <c r="C31">
        <f>+'CAPPO CORREO'!K38</f>
        <v>4163.24</v>
      </c>
      <c r="D31">
        <v>0</v>
      </c>
      <c r="E31">
        <f>+Hoja1!C31</f>
        <v>4163.24</v>
      </c>
    </row>
    <row r="32" spans="1:5" x14ac:dyDescent="0.25">
      <c r="A32" t="str">
        <f>CONCATENATE("V",'CAPPO CORREO'!B39)</f>
        <v>V9540845</v>
      </c>
      <c r="B32" t="str">
        <f>+'CAPPO CORREO'!D39</f>
        <v>CASTILLO HONORIO</v>
      </c>
      <c r="C32">
        <f>+'CAPPO CORREO'!K39</f>
        <v>117.05</v>
      </c>
      <c r="D32">
        <v>0</v>
      </c>
      <c r="E32">
        <f>+Hoja1!C32</f>
        <v>117.05</v>
      </c>
    </row>
    <row r="33" spans="1:5" x14ac:dyDescent="0.25">
      <c r="A33" t="str">
        <f>CONCATENATE("V",'CAPPO CORREO'!B40)</f>
        <v>V10846532</v>
      </c>
      <c r="B33" t="str">
        <f>+'CAPPO CORREO'!D40</f>
        <v>CASTILLO JOSE</v>
      </c>
      <c r="C33">
        <f>+'CAPPO CORREO'!K40</f>
        <v>2936.56</v>
      </c>
      <c r="D33">
        <v>0</v>
      </c>
      <c r="E33">
        <f>+Hoja1!C33</f>
        <v>2936.56</v>
      </c>
    </row>
    <row r="34" spans="1:5" x14ac:dyDescent="0.25">
      <c r="A34" t="str">
        <f>CONCATENATE("V",'CAPPO CORREO'!B41)</f>
        <v>V10846532</v>
      </c>
      <c r="B34" t="str">
        <f>+'CAPPO CORREO'!D41</f>
        <v>CASTILLO JOSE</v>
      </c>
      <c r="C34">
        <f>+'CAPPO CORREO'!K41</f>
        <v>918.71</v>
      </c>
      <c r="D34">
        <v>0</v>
      </c>
      <c r="E34">
        <f>+Hoja1!C34</f>
        <v>918.71</v>
      </c>
    </row>
    <row r="35" spans="1:5" x14ac:dyDescent="0.25">
      <c r="A35" t="str">
        <f>CONCATENATE("V",'CAPPO CORREO'!B42)</f>
        <v>V7446644</v>
      </c>
      <c r="B35" t="str">
        <f>+'CAPPO CORREO'!D42</f>
        <v>CHIRINOS CARLOS GREG</v>
      </c>
      <c r="C35">
        <f>+'CAPPO CORREO'!K42</f>
        <v>1712.16</v>
      </c>
      <c r="D35">
        <v>0</v>
      </c>
      <c r="E35">
        <f>+Hoja1!C35</f>
        <v>1712.16</v>
      </c>
    </row>
    <row r="36" spans="1:5" x14ac:dyDescent="0.25">
      <c r="A36" t="str">
        <f>CONCATENATE("V",'CAPPO CORREO'!B43)</f>
        <v>V7316059</v>
      </c>
      <c r="B36" t="str">
        <f>+'CAPPO CORREO'!D43</f>
        <v>COLMENAREZ CARLOS</v>
      </c>
      <c r="C36">
        <f>+'CAPPO CORREO'!K43</f>
        <v>269.22000000000003</v>
      </c>
      <c r="D36">
        <v>0</v>
      </c>
      <c r="E36">
        <f>+Hoja1!C36</f>
        <v>269.22000000000003</v>
      </c>
    </row>
    <row r="37" spans="1:5" x14ac:dyDescent="0.25">
      <c r="A37" t="str">
        <f>CONCATENATE("V",'CAPPO CORREO'!B44)</f>
        <v>V20348834</v>
      </c>
      <c r="B37" t="str">
        <f>+'CAPPO CORREO'!D44</f>
        <v>COLMENAREZ YENIRETH</v>
      </c>
      <c r="C37">
        <f>+'CAPPO CORREO'!K44</f>
        <v>944.06</v>
      </c>
      <c r="D37">
        <v>0</v>
      </c>
      <c r="E37">
        <f>+Hoja1!C37</f>
        <v>944.06</v>
      </c>
    </row>
    <row r="38" spans="1:5" x14ac:dyDescent="0.25">
      <c r="A38" t="str">
        <f>CONCATENATE("V",'CAPPO CORREO'!B45)</f>
        <v>V7377579</v>
      </c>
      <c r="B38" t="str">
        <f>+'CAPPO CORREO'!D45</f>
        <v>CONDE  RIGOBERTO</v>
      </c>
      <c r="C38">
        <f>+'CAPPO CORREO'!K45</f>
        <v>3094.38</v>
      </c>
      <c r="D38">
        <v>0</v>
      </c>
      <c r="E38">
        <f>+Hoja1!C38</f>
        <v>3094.38</v>
      </c>
    </row>
    <row r="39" spans="1:5" x14ac:dyDescent="0.25">
      <c r="A39" t="str">
        <f>CONCATENATE("V",'CAPPO CORREO'!B46)</f>
        <v>V9609337</v>
      </c>
      <c r="B39" t="str">
        <f>+'CAPPO CORREO'!D46</f>
        <v>CORRALES CLARISA</v>
      </c>
      <c r="C39">
        <f>+'CAPPO CORREO'!K46</f>
        <v>1706.86</v>
      </c>
      <c r="D39">
        <v>0</v>
      </c>
      <c r="E39">
        <f>+Hoja1!C39</f>
        <v>1706.86</v>
      </c>
    </row>
    <row r="40" spans="1:5" x14ac:dyDescent="0.25">
      <c r="A40" t="str">
        <f>CONCATENATE("V",'CAPPO CORREO'!B47)</f>
        <v>V4723168</v>
      </c>
      <c r="B40" t="str">
        <f>+'CAPPO CORREO'!D47</f>
        <v>CRESPO  PEDRO</v>
      </c>
      <c r="C40">
        <f>+'CAPPO CORREO'!K47</f>
        <v>487.76</v>
      </c>
      <c r="D40">
        <v>0</v>
      </c>
      <c r="E40">
        <f>+Hoja1!C40</f>
        <v>487.76</v>
      </c>
    </row>
    <row r="41" spans="1:5" x14ac:dyDescent="0.25">
      <c r="A41" t="str">
        <f>CONCATENATE("V",'CAPPO CORREO'!B48)</f>
        <v>V9211039</v>
      </c>
      <c r="B41" t="str">
        <f>+'CAPPO CORREO'!D48</f>
        <v>DAVILA CHACON INGRID</v>
      </c>
      <c r="C41">
        <f>+'CAPPO CORREO'!K48</f>
        <v>420</v>
      </c>
      <c r="D41">
        <v>0</v>
      </c>
      <c r="E41">
        <f>+Hoja1!C41</f>
        <v>420</v>
      </c>
    </row>
    <row r="42" spans="1:5" x14ac:dyDescent="0.25">
      <c r="A42" t="str">
        <f>CONCATENATE("V",'CAPPO CORREO'!B49)</f>
        <v>V9211039</v>
      </c>
      <c r="B42" t="str">
        <f>+'CAPPO CORREO'!D49</f>
        <v>DAVILA CHACON INGRID</v>
      </c>
      <c r="C42">
        <f>+'CAPPO CORREO'!K49</f>
        <v>352</v>
      </c>
      <c r="D42">
        <v>0</v>
      </c>
      <c r="E42">
        <f>+Hoja1!C42</f>
        <v>352</v>
      </c>
    </row>
    <row r="43" spans="1:5" x14ac:dyDescent="0.25">
      <c r="A43" t="str">
        <f>CONCATENATE("V",'CAPPO CORREO'!B50)</f>
        <v>V10846474</v>
      </c>
      <c r="B43" t="str">
        <f>+'CAPPO CORREO'!D50</f>
        <v>DUARTE GUERRERO GENR</v>
      </c>
      <c r="C43">
        <f>+'CAPPO CORREO'!K50</f>
        <v>1253.06</v>
      </c>
      <c r="D43">
        <v>0</v>
      </c>
      <c r="E43">
        <f>+Hoja1!C43</f>
        <v>1253.06</v>
      </c>
    </row>
    <row r="44" spans="1:5" x14ac:dyDescent="0.25">
      <c r="A44" t="str">
        <f>CONCATENATE("V",'CAPPO CORREO'!B51)</f>
        <v>V9544345</v>
      </c>
      <c r="B44" t="str">
        <f>+'CAPPO CORREO'!D51</f>
        <v>DUNO RIVERO EDGAR</v>
      </c>
      <c r="C44">
        <f>+'CAPPO CORREO'!K51</f>
        <v>1511.38</v>
      </c>
      <c r="D44">
        <v>0</v>
      </c>
      <c r="E44">
        <f>+Hoja1!C44</f>
        <v>1511.38</v>
      </c>
    </row>
    <row r="45" spans="1:5" x14ac:dyDescent="0.25">
      <c r="A45" t="str">
        <f>CONCATENATE("V",'CAPPO CORREO'!B52)</f>
        <v>V4727740</v>
      </c>
      <c r="B45" t="str">
        <f>+'CAPPO CORREO'!D52</f>
        <v>DURAN  ADRIAN</v>
      </c>
      <c r="C45">
        <f>+'CAPPO CORREO'!K52</f>
        <v>2350.11</v>
      </c>
      <c r="D45">
        <v>0</v>
      </c>
      <c r="E45">
        <f>+Hoja1!C45</f>
        <v>2350.11</v>
      </c>
    </row>
    <row r="46" spans="1:5" x14ac:dyDescent="0.25">
      <c r="A46" t="str">
        <f>CONCATENATE("V",'CAPPO CORREO'!B53)</f>
        <v>V7337422</v>
      </c>
      <c r="B46" t="str">
        <f>+'CAPPO CORREO'!D53</f>
        <v>DURAN  AURA</v>
      </c>
      <c r="C46">
        <f>+'CAPPO CORREO'!K53</f>
        <v>12298.39</v>
      </c>
      <c r="D46">
        <v>0</v>
      </c>
      <c r="E46">
        <f>+Hoja1!C46</f>
        <v>12298.39</v>
      </c>
    </row>
    <row r="47" spans="1:5" x14ac:dyDescent="0.25">
      <c r="A47" t="str">
        <f>CONCATENATE("V",'CAPPO CORREO'!B54)</f>
        <v>V7337422</v>
      </c>
      <c r="B47" t="str">
        <f>+'CAPPO CORREO'!D54</f>
        <v>DURAN  AURA</v>
      </c>
      <c r="C47">
        <f>+'CAPPO CORREO'!K54</f>
        <v>3716.23</v>
      </c>
      <c r="D47">
        <v>0</v>
      </c>
      <c r="E47">
        <f>+Hoja1!C47</f>
        <v>3716.23</v>
      </c>
    </row>
    <row r="48" spans="1:5" x14ac:dyDescent="0.25">
      <c r="A48" t="str">
        <f>CONCATENATE("V",'CAPPO CORREO'!B55)</f>
        <v>V7337422</v>
      </c>
      <c r="B48" t="str">
        <f>+'CAPPO CORREO'!D55</f>
        <v>DURAN  AURA</v>
      </c>
      <c r="C48">
        <f>+'CAPPO CORREO'!K55</f>
        <v>458.6</v>
      </c>
      <c r="D48">
        <v>0</v>
      </c>
      <c r="E48">
        <f>+Hoja1!C48</f>
        <v>458.6</v>
      </c>
    </row>
    <row r="49" spans="1:5" x14ac:dyDescent="0.25">
      <c r="A49" t="str">
        <f>CONCATENATE("V",'CAPPO CORREO'!B56)</f>
        <v>V7337422</v>
      </c>
      <c r="B49" t="str">
        <f>+'CAPPO CORREO'!D56</f>
        <v>DURAN  AURA</v>
      </c>
      <c r="C49">
        <f>+'CAPPO CORREO'!K56</f>
        <v>6268.2</v>
      </c>
      <c r="D49">
        <v>0</v>
      </c>
      <c r="E49">
        <f>+Hoja1!C49</f>
        <v>6268.2</v>
      </c>
    </row>
    <row r="50" spans="1:5" x14ac:dyDescent="0.25">
      <c r="A50" t="str">
        <f>CONCATENATE("V",'CAPPO CORREO'!B57)</f>
        <v>V11596252</v>
      </c>
      <c r="B50" t="str">
        <f>+'CAPPO CORREO'!D57</f>
        <v>DURAN RAFAEL</v>
      </c>
      <c r="C50">
        <f>+'CAPPO CORREO'!K57</f>
        <v>1016.18</v>
      </c>
      <c r="D50">
        <v>0</v>
      </c>
      <c r="E50">
        <f>+Hoja1!C50</f>
        <v>1016.18</v>
      </c>
    </row>
    <row r="51" spans="1:5" x14ac:dyDescent="0.25">
      <c r="A51" t="str">
        <f>CONCATENATE("V",'CAPPO CORREO'!B58)</f>
        <v>V9557148</v>
      </c>
      <c r="B51" t="str">
        <f>+'CAPPO CORREO'!D58</f>
        <v>EREU  MARIANO</v>
      </c>
      <c r="C51">
        <f>+'CAPPO CORREO'!K58</f>
        <v>3111.31</v>
      </c>
      <c r="D51">
        <v>0</v>
      </c>
      <c r="E51">
        <f>+Hoja1!C51</f>
        <v>3111.31</v>
      </c>
    </row>
    <row r="52" spans="1:5" x14ac:dyDescent="0.25">
      <c r="A52" t="str">
        <f>CONCATENATE("V",'CAPPO CORREO'!B59)</f>
        <v>V9557148</v>
      </c>
      <c r="B52" t="str">
        <f>+'CAPPO CORREO'!D59</f>
        <v>EREU  MARIANO</v>
      </c>
      <c r="C52">
        <f>+'CAPPO CORREO'!K59</f>
        <v>1833.35</v>
      </c>
      <c r="D52">
        <v>0</v>
      </c>
      <c r="E52">
        <f>+Hoja1!C52</f>
        <v>1833.35</v>
      </c>
    </row>
    <row r="53" spans="1:5" x14ac:dyDescent="0.25">
      <c r="A53" t="str">
        <f>CONCATENATE("V",'CAPPO CORREO'!B60)</f>
        <v>V9620701</v>
      </c>
      <c r="B53" t="str">
        <f>+'CAPPO CORREO'!D60</f>
        <v>ESCALONA DIONICIO</v>
      </c>
      <c r="C53">
        <f>+'CAPPO CORREO'!K60</f>
        <v>1048.21</v>
      </c>
      <c r="D53">
        <v>0</v>
      </c>
      <c r="E53">
        <f>+Hoja1!C53</f>
        <v>1048.21</v>
      </c>
    </row>
    <row r="54" spans="1:5" x14ac:dyDescent="0.25">
      <c r="A54" t="str">
        <f>CONCATENATE("V",'CAPPO CORREO'!B61)</f>
        <v>V14176671</v>
      </c>
      <c r="B54" t="str">
        <f>+'CAPPO CORREO'!D61</f>
        <v>FERNANDEZ GOYO ADALB</v>
      </c>
      <c r="C54">
        <f>+'CAPPO CORREO'!K61</f>
        <v>797.67</v>
      </c>
      <c r="D54">
        <v>0</v>
      </c>
      <c r="E54">
        <f>+Hoja1!C54</f>
        <v>797.67</v>
      </c>
    </row>
    <row r="55" spans="1:5" x14ac:dyDescent="0.25">
      <c r="A55" t="str">
        <f>CONCATENATE("V",'CAPPO CORREO'!B62)</f>
        <v>V11267811</v>
      </c>
      <c r="B55" t="str">
        <f>+'CAPPO CORREO'!D62</f>
        <v>FLORES JOSE</v>
      </c>
      <c r="C55">
        <f>+'CAPPO CORREO'!K62</f>
        <v>1925.92</v>
      </c>
      <c r="D55">
        <v>0</v>
      </c>
      <c r="E55">
        <f>+Hoja1!C55</f>
        <v>1925.92</v>
      </c>
    </row>
    <row r="56" spans="1:5" x14ac:dyDescent="0.25">
      <c r="A56" t="str">
        <f>CONCATENATE("V",'CAPPO CORREO'!B63)</f>
        <v>V11267811</v>
      </c>
      <c r="B56" t="str">
        <f>+'CAPPO CORREO'!D63</f>
        <v>FLORES JOSE</v>
      </c>
      <c r="C56">
        <f>+'CAPPO CORREO'!K63</f>
        <v>3331.55</v>
      </c>
      <c r="D56">
        <v>0</v>
      </c>
      <c r="E56">
        <f>+Hoja1!C56</f>
        <v>3331.55</v>
      </c>
    </row>
    <row r="57" spans="1:5" x14ac:dyDescent="0.25">
      <c r="A57" t="str">
        <f>CONCATENATE("V",'CAPPO CORREO'!B64)</f>
        <v>V11267811</v>
      </c>
      <c r="B57" t="str">
        <f>+'CAPPO CORREO'!D64</f>
        <v>FLORES JOSE</v>
      </c>
      <c r="C57">
        <f>+'CAPPO CORREO'!K64</f>
        <v>1929.52</v>
      </c>
      <c r="D57">
        <v>0</v>
      </c>
      <c r="E57">
        <f>+Hoja1!C57</f>
        <v>1929.52</v>
      </c>
    </row>
    <row r="58" spans="1:5" x14ac:dyDescent="0.25">
      <c r="A58" t="str">
        <f>CONCATENATE("V",'CAPPO CORREO'!B65)</f>
        <v>V11267811</v>
      </c>
      <c r="B58" t="str">
        <f>+'CAPPO CORREO'!D65</f>
        <v>FLORES JOSE</v>
      </c>
      <c r="C58">
        <f>+'CAPPO CORREO'!K65</f>
        <v>461.46</v>
      </c>
      <c r="D58">
        <v>0</v>
      </c>
      <c r="E58">
        <f>+Hoja1!C58</f>
        <v>461.46</v>
      </c>
    </row>
    <row r="59" spans="1:5" x14ac:dyDescent="0.25">
      <c r="A59" t="str">
        <f>CONCATENATE("V",'CAPPO CORREO'!B66)</f>
        <v>V11267811</v>
      </c>
      <c r="B59" t="str">
        <f>+'CAPPO CORREO'!D66</f>
        <v>FLORES JOSE</v>
      </c>
      <c r="C59">
        <f>+'CAPPO CORREO'!K66</f>
        <v>2011.27</v>
      </c>
      <c r="D59">
        <v>0</v>
      </c>
      <c r="E59">
        <f>+Hoja1!C59</f>
        <v>2011.27</v>
      </c>
    </row>
    <row r="60" spans="1:5" x14ac:dyDescent="0.25">
      <c r="A60" t="str">
        <f>CONCATENATE("V",'CAPPO CORREO'!B67)</f>
        <v>V13775452</v>
      </c>
      <c r="B60" t="str">
        <f>+'CAPPO CORREO'!D67</f>
        <v>FRANCO FREITEZ VICTO</v>
      </c>
      <c r="C60">
        <f>+'CAPPO CORREO'!K67</f>
        <v>611.66999999999996</v>
      </c>
      <c r="D60">
        <v>0</v>
      </c>
      <c r="E60">
        <f>+Hoja1!C60</f>
        <v>611.66999999999996</v>
      </c>
    </row>
    <row r="61" spans="1:5" x14ac:dyDescent="0.25">
      <c r="A61" t="str">
        <f>CONCATENATE("V",'CAPPO CORREO'!B68)</f>
        <v>V4732618</v>
      </c>
      <c r="B61" t="str">
        <f>+'CAPPO CORREO'!D68</f>
        <v>GARCES  NELLY</v>
      </c>
      <c r="C61">
        <f>+'CAPPO CORREO'!K68</f>
        <v>1481.32</v>
      </c>
      <c r="D61">
        <v>0</v>
      </c>
      <c r="E61">
        <f>+Hoja1!C61</f>
        <v>1481.32</v>
      </c>
    </row>
    <row r="62" spans="1:5" x14ac:dyDescent="0.25">
      <c r="A62" t="str">
        <f>CONCATENATE("V",'CAPPO CORREO'!B69)</f>
        <v>V15729233</v>
      </c>
      <c r="B62" t="str">
        <f>+'CAPPO CORREO'!D69</f>
        <v>GARCES WILLIAN</v>
      </c>
      <c r="C62">
        <f>+'CAPPO CORREO'!K69</f>
        <v>3616.01</v>
      </c>
      <c r="D62">
        <v>0</v>
      </c>
      <c r="E62">
        <f>+Hoja1!C62</f>
        <v>3616.01</v>
      </c>
    </row>
    <row r="63" spans="1:5" x14ac:dyDescent="0.25">
      <c r="A63" t="str">
        <f>CONCATENATE("V",'CAPPO CORREO'!B70)</f>
        <v>V15729233</v>
      </c>
      <c r="B63" t="str">
        <f>+'CAPPO CORREO'!D70</f>
        <v>GARCES WILLIAN</v>
      </c>
      <c r="C63">
        <f>+'CAPPO CORREO'!K70</f>
        <v>639.91</v>
      </c>
      <c r="D63">
        <v>0</v>
      </c>
      <c r="E63">
        <f>+Hoja1!C63</f>
        <v>639.91</v>
      </c>
    </row>
    <row r="64" spans="1:5" x14ac:dyDescent="0.25">
      <c r="A64" t="str">
        <f>CONCATENATE("V",'CAPPO CORREO'!B71)</f>
        <v>V15729233</v>
      </c>
      <c r="B64" t="str">
        <f>+'CAPPO CORREO'!D71</f>
        <v>GARCES WILLIAN</v>
      </c>
      <c r="C64">
        <f>+'CAPPO CORREO'!K71</f>
        <v>2802.41</v>
      </c>
      <c r="D64">
        <v>0</v>
      </c>
      <c r="E64">
        <f>+Hoja1!C64</f>
        <v>2802.41</v>
      </c>
    </row>
    <row r="65" spans="1:5" x14ac:dyDescent="0.25">
      <c r="A65" t="str">
        <f>CONCATENATE("V",'CAPPO CORREO'!B72)</f>
        <v>V15729233</v>
      </c>
      <c r="B65" t="str">
        <f>+'CAPPO CORREO'!D72</f>
        <v>GARCES WILLIAN</v>
      </c>
      <c r="C65">
        <f>+'CAPPO CORREO'!K72</f>
        <v>189.93</v>
      </c>
      <c r="D65">
        <v>0</v>
      </c>
      <c r="E65">
        <f>+Hoja1!C65</f>
        <v>189.93</v>
      </c>
    </row>
    <row r="66" spans="1:5" x14ac:dyDescent="0.25">
      <c r="A66" t="str">
        <f>CONCATENATE("V",'CAPPO CORREO'!B73)</f>
        <v>V11792127</v>
      </c>
      <c r="B66" t="str">
        <f>+'CAPPO CORREO'!D73</f>
        <v>GARCIA PEDRO</v>
      </c>
      <c r="C66">
        <f>+'CAPPO CORREO'!K73</f>
        <v>771.76</v>
      </c>
      <c r="D66">
        <v>0</v>
      </c>
      <c r="E66">
        <f>+Hoja1!C66</f>
        <v>771.76</v>
      </c>
    </row>
    <row r="67" spans="1:5" x14ac:dyDescent="0.25">
      <c r="A67" t="str">
        <f>CONCATENATE("V",'CAPPO CORREO'!B74)</f>
        <v>V11792127</v>
      </c>
      <c r="B67" t="str">
        <f>+'CAPPO CORREO'!D74</f>
        <v>GARCIA PEDRO</v>
      </c>
      <c r="C67">
        <f>+'CAPPO CORREO'!K74</f>
        <v>1480.17</v>
      </c>
      <c r="D67">
        <v>0</v>
      </c>
      <c r="E67">
        <f>+Hoja1!C67</f>
        <v>1480.17</v>
      </c>
    </row>
    <row r="68" spans="1:5" x14ac:dyDescent="0.25">
      <c r="A68" t="str">
        <f>CONCATENATE("V",'CAPPO CORREO'!B75)</f>
        <v>V9555077</v>
      </c>
      <c r="B68" t="str">
        <f>+'CAPPO CORREO'!D75</f>
        <v>GARCIA PRIETO JOSE</v>
      </c>
      <c r="C68">
        <f>+'CAPPO CORREO'!K75</f>
        <v>1475.8</v>
      </c>
      <c r="D68">
        <v>0</v>
      </c>
      <c r="E68">
        <f>+Hoja1!C68</f>
        <v>1475.8</v>
      </c>
    </row>
    <row r="69" spans="1:5" x14ac:dyDescent="0.25">
      <c r="A69" t="str">
        <f>CONCATENATE("V",'CAPPO CORREO'!B76)</f>
        <v>V10844947</v>
      </c>
      <c r="B69" t="str">
        <f>+'CAPPO CORREO'!D76</f>
        <v>GARCIA RIVERO JORGE</v>
      </c>
      <c r="C69">
        <f>+'CAPPO CORREO'!K76</f>
        <v>2359.63</v>
      </c>
      <c r="D69">
        <v>0</v>
      </c>
      <c r="E69">
        <f>+Hoja1!C69</f>
        <v>2359.63</v>
      </c>
    </row>
    <row r="70" spans="1:5" x14ac:dyDescent="0.25">
      <c r="A70" t="str">
        <f>CONCATENATE("V",'CAPPO CORREO'!B77)</f>
        <v>V7437806</v>
      </c>
      <c r="B70" t="str">
        <f>+'CAPPO CORREO'!D77</f>
        <v>GARRIDO  YAMILETH</v>
      </c>
      <c r="C70">
        <f>+'CAPPO CORREO'!K77</f>
        <v>640</v>
      </c>
      <c r="D70">
        <v>0</v>
      </c>
      <c r="E70">
        <f>+Hoja1!C70</f>
        <v>640</v>
      </c>
    </row>
    <row r="71" spans="1:5" x14ac:dyDescent="0.25">
      <c r="A71" t="str">
        <f>CONCATENATE("V",'CAPPO CORREO'!B78)</f>
        <v>V3857667</v>
      </c>
      <c r="B71" t="str">
        <f>+'CAPPO CORREO'!D78</f>
        <v>GIL  PABLO</v>
      </c>
      <c r="C71">
        <f>+'CAPPO CORREO'!K78</f>
        <v>280</v>
      </c>
      <c r="D71">
        <v>0</v>
      </c>
      <c r="E71">
        <f>+Hoja1!C71</f>
        <v>280</v>
      </c>
    </row>
    <row r="72" spans="1:5" x14ac:dyDescent="0.25">
      <c r="A72" t="str">
        <f>CONCATENATE("V",'CAPPO CORREO'!B79)</f>
        <v>V7436996</v>
      </c>
      <c r="B72" t="str">
        <f>+'CAPPO CORREO'!D79</f>
        <v>GIMENEZ  ERNESTO</v>
      </c>
      <c r="C72">
        <f>+'CAPPO CORREO'!K79</f>
        <v>1671.36</v>
      </c>
      <c r="D72">
        <v>0</v>
      </c>
      <c r="E72">
        <f>+Hoja1!C72</f>
        <v>1671.36</v>
      </c>
    </row>
    <row r="73" spans="1:5" x14ac:dyDescent="0.25">
      <c r="A73" t="str">
        <f>CONCATENATE("V",'CAPPO CORREO'!B80)</f>
        <v>V12851330</v>
      </c>
      <c r="B73" t="str">
        <f>+'CAPPO CORREO'!D80</f>
        <v>GIMENEZ JOSE</v>
      </c>
      <c r="C73">
        <f>+'CAPPO CORREO'!K80</f>
        <v>1083.48</v>
      </c>
      <c r="D73">
        <v>0</v>
      </c>
      <c r="E73">
        <f>+Hoja1!C73</f>
        <v>1083.48</v>
      </c>
    </row>
    <row r="74" spans="1:5" x14ac:dyDescent="0.25">
      <c r="A74" t="str">
        <f>CONCATENATE("V",'CAPPO CORREO'!B81)</f>
        <v>V13032012</v>
      </c>
      <c r="B74" t="str">
        <f>+'CAPPO CORREO'!D81</f>
        <v>GONZALEZ ANDRES</v>
      </c>
      <c r="C74">
        <f>+'CAPPO CORREO'!K81</f>
        <v>2374.81</v>
      </c>
      <c r="D74">
        <v>0</v>
      </c>
      <c r="E74">
        <f>+Hoja1!C74</f>
        <v>2374.81</v>
      </c>
    </row>
    <row r="75" spans="1:5" x14ac:dyDescent="0.25">
      <c r="A75" t="str">
        <f>CONCATENATE("V",'CAPPO CORREO'!B82)</f>
        <v>V9547148</v>
      </c>
      <c r="B75" t="str">
        <f>+'CAPPO CORREO'!D82</f>
        <v>GONZALEZ JORGE</v>
      </c>
      <c r="C75">
        <f>+'CAPPO CORREO'!K82</f>
        <v>1524.27</v>
      </c>
      <c r="D75">
        <v>0</v>
      </c>
      <c r="E75">
        <f>+Hoja1!C75</f>
        <v>1524.27</v>
      </c>
    </row>
    <row r="76" spans="1:5" x14ac:dyDescent="0.25">
      <c r="A76" t="str">
        <f>CONCATENATE("V",'CAPPO CORREO'!B83)</f>
        <v>V9547148</v>
      </c>
      <c r="B76" t="str">
        <f>+'CAPPO CORREO'!D83</f>
        <v>GONZALEZ JORGE</v>
      </c>
      <c r="C76">
        <f>+'CAPPO CORREO'!K83</f>
        <v>4511.1099999999997</v>
      </c>
      <c r="D76">
        <v>0</v>
      </c>
      <c r="E76">
        <f>+Hoja1!C76</f>
        <v>4511.1099999999997</v>
      </c>
    </row>
    <row r="77" spans="1:5" x14ac:dyDescent="0.25">
      <c r="A77" t="str">
        <f>CONCATENATE("V",'CAPPO CORREO'!B84)</f>
        <v>V9547148</v>
      </c>
      <c r="B77" t="str">
        <f>+'CAPPO CORREO'!D84</f>
        <v>GONZALEZ JORGE</v>
      </c>
      <c r="C77">
        <f>+'CAPPO CORREO'!K84</f>
        <v>1959.63</v>
      </c>
      <c r="D77">
        <v>0</v>
      </c>
      <c r="E77">
        <f>+Hoja1!C77</f>
        <v>1959.63</v>
      </c>
    </row>
    <row r="78" spans="1:5" x14ac:dyDescent="0.25">
      <c r="A78" t="str">
        <f>CONCATENATE("V",'CAPPO CORREO'!B85)</f>
        <v>V4378759</v>
      </c>
      <c r="B78" t="str">
        <f>+'CAPPO CORREO'!D85</f>
        <v>GONZALEZ WILLIAM</v>
      </c>
      <c r="C78">
        <f>+'CAPPO CORREO'!K85</f>
        <v>1480.66</v>
      </c>
      <c r="D78">
        <v>0</v>
      </c>
      <c r="E78">
        <f>+Hoja1!C78</f>
        <v>1480.66</v>
      </c>
    </row>
    <row r="79" spans="1:5" x14ac:dyDescent="0.25">
      <c r="A79" t="str">
        <f>CONCATENATE("V",'CAPPO CORREO'!B86)</f>
        <v>V10849907</v>
      </c>
      <c r="B79" t="str">
        <f>+'CAPPO CORREO'!D86</f>
        <v>GRAYEROL JHONNY</v>
      </c>
      <c r="C79">
        <f>+'CAPPO CORREO'!K86</f>
        <v>1355.92</v>
      </c>
      <c r="D79">
        <v>0</v>
      </c>
      <c r="E79">
        <f>+Hoja1!C79</f>
        <v>1355.92</v>
      </c>
    </row>
    <row r="80" spans="1:5" x14ac:dyDescent="0.25">
      <c r="A80" t="str">
        <f>CONCATENATE("V",'CAPPO CORREO'!B87)</f>
        <v>V7426046</v>
      </c>
      <c r="B80" t="str">
        <f>+'CAPPO CORREO'!D87</f>
        <v>GUASIMUCARO HENRY</v>
      </c>
      <c r="C80">
        <f>+'CAPPO CORREO'!K87</f>
        <v>1380.64</v>
      </c>
      <c r="D80">
        <v>0</v>
      </c>
      <c r="E80">
        <f>+Hoja1!C80</f>
        <v>1380.64</v>
      </c>
    </row>
    <row r="81" spans="1:5" x14ac:dyDescent="0.25">
      <c r="A81" t="str">
        <f>CONCATENATE("V",'CAPPO CORREO'!B88)</f>
        <v>V1239070</v>
      </c>
      <c r="B81" t="str">
        <f>+'CAPPO CORREO'!D88</f>
        <v>GUEVARA  JOSE</v>
      </c>
      <c r="C81">
        <f>+'CAPPO CORREO'!K88</f>
        <v>580</v>
      </c>
      <c r="D81">
        <v>0</v>
      </c>
      <c r="E81">
        <f>+Hoja1!C81</f>
        <v>580</v>
      </c>
    </row>
    <row r="82" spans="1:5" x14ac:dyDescent="0.25">
      <c r="A82" t="str">
        <f>CONCATENATE("V",'CAPPO CORREO'!B89)</f>
        <v>V1239070</v>
      </c>
      <c r="B82" t="str">
        <f>+'CAPPO CORREO'!D89</f>
        <v>GUEVARA  JOSE</v>
      </c>
      <c r="C82">
        <f>+'CAPPO CORREO'!K89</f>
        <v>860.25</v>
      </c>
      <c r="D82">
        <v>0</v>
      </c>
      <c r="E82">
        <f>+Hoja1!C82</f>
        <v>860.25</v>
      </c>
    </row>
    <row r="83" spans="1:5" x14ac:dyDescent="0.25">
      <c r="A83" t="str">
        <f>CONCATENATE("V",'CAPPO CORREO'!B90)</f>
        <v>V7415285</v>
      </c>
      <c r="B83" t="str">
        <f>+'CAPPO CORREO'!D90</f>
        <v>HERNANDEZ  CARLOS</v>
      </c>
      <c r="C83">
        <f>+'CAPPO CORREO'!K90</f>
        <v>2331.04</v>
      </c>
      <c r="D83">
        <v>0</v>
      </c>
      <c r="E83">
        <f>+Hoja1!C83</f>
        <v>2331.04</v>
      </c>
    </row>
    <row r="84" spans="1:5" x14ac:dyDescent="0.25">
      <c r="A84" t="str">
        <f>CONCATENATE("V",'CAPPO CORREO'!B91)</f>
        <v>V7415285</v>
      </c>
      <c r="B84" t="str">
        <f>+'CAPPO CORREO'!D91</f>
        <v>HERNANDEZ  CARLOS</v>
      </c>
      <c r="C84">
        <f>+'CAPPO CORREO'!K91</f>
        <v>420</v>
      </c>
      <c r="D84">
        <v>0</v>
      </c>
      <c r="E84">
        <f>+Hoja1!C84</f>
        <v>420</v>
      </c>
    </row>
    <row r="85" spans="1:5" x14ac:dyDescent="0.25">
      <c r="A85" t="str">
        <f>CONCATENATE("V",'CAPPO CORREO'!B92)</f>
        <v>V13188137</v>
      </c>
      <c r="B85" t="str">
        <f>+'CAPPO CORREO'!D92</f>
        <v>HERNANDEZ HECTOR</v>
      </c>
      <c r="C85">
        <f>+'CAPPO CORREO'!K92</f>
        <v>496.87</v>
      </c>
      <c r="D85">
        <v>0</v>
      </c>
      <c r="E85">
        <f>+Hoja1!C85</f>
        <v>496.87</v>
      </c>
    </row>
    <row r="86" spans="1:5" x14ac:dyDescent="0.25">
      <c r="A86" t="str">
        <f>CONCATENATE("V",'CAPPO CORREO'!B93)</f>
        <v>V13188137</v>
      </c>
      <c r="B86" t="str">
        <f>+'CAPPO CORREO'!D93</f>
        <v>HERNANDEZ HECTOR</v>
      </c>
      <c r="C86">
        <f>+'CAPPO CORREO'!K93</f>
        <v>756.18</v>
      </c>
      <c r="D86">
        <v>0</v>
      </c>
      <c r="E86">
        <f>+Hoja1!C86</f>
        <v>756.18</v>
      </c>
    </row>
    <row r="87" spans="1:5" x14ac:dyDescent="0.25">
      <c r="A87" t="str">
        <f>CONCATENATE("V",'CAPPO CORREO'!B94)</f>
        <v>V9614364</v>
      </c>
      <c r="B87" t="str">
        <f>+'CAPPO CORREO'!D94</f>
        <v>HERNANDEZ JORGE</v>
      </c>
      <c r="C87">
        <f>+'CAPPO CORREO'!K94</f>
        <v>922.18</v>
      </c>
      <c r="D87">
        <v>0</v>
      </c>
      <c r="E87">
        <f>+Hoja1!C87</f>
        <v>922.18</v>
      </c>
    </row>
    <row r="88" spans="1:5" x14ac:dyDescent="0.25">
      <c r="A88" t="str">
        <f>CONCATENATE("V",'CAPPO CORREO'!B95)</f>
        <v>V9614364</v>
      </c>
      <c r="B88" t="str">
        <f>+'CAPPO CORREO'!D95</f>
        <v>HERNANDEZ JORGE</v>
      </c>
      <c r="C88">
        <f>+'CAPPO CORREO'!K95</f>
        <v>1487</v>
      </c>
      <c r="D88">
        <v>0</v>
      </c>
      <c r="E88">
        <f>+Hoja1!C88</f>
        <v>1487</v>
      </c>
    </row>
    <row r="89" spans="1:5" x14ac:dyDescent="0.25">
      <c r="A89" t="str">
        <f>CONCATENATE("V",'CAPPO CORREO'!B96)</f>
        <v>V9614364</v>
      </c>
      <c r="B89" t="str">
        <f>+'CAPPO CORREO'!D96</f>
        <v>HERNANDEZ JORGE</v>
      </c>
      <c r="C89">
        <f>+'CAPPO CORREO'!K96</f>
        <v>275.2</v>
      </c>
      <c r="D89">
        <v>0</v>
      </c>
      <c r="E89">
        <f>+Hoja1!C89</f>
        <v>275.2</v>
      </c>
    </row>
    <row r="90" spans="1:5" x14ac:dyDescent="0.25">
      <c r="A90" t="str">
        <f>CONCATENATE("V",'CAPPO CORREO'!B97)</f>
        <v>V20189202</v>
      </c>
      <c r="B90" t="str">
        <f>+'CAPPO CORREO'!D97</f>
        <v>HERNANDEZ RODRIGUEZ</v>
      </c>
      <c r="C90">
        <f>+'CAPPO CORREO'!K97</f>
        <v>2008.91</v>
      </c>
      <c r="D90">
        <v>0</v>
      </c>
      <c r="E90">
        <f>+Hoja1!C90</f>
        <v>2008.91</v>
      </c>
    </row>
    <row r="91" spans="1:5" x14ac:dyDescent="0.25">
      <c r="A91" t="str">
        <f>CONCATENATE("V",'CAPPO CORREO'!B98)</f>
        <v>V12021966</v>
      </c>
      <c r="B91" t="str">
        <f>+'CAPPO CORREO'!D98</f>
        <v>HERNANDEZ ROSMER</v>
      </c>
      <c r="C91">
        <f>+'CAPPO CORREO'!K98</f>
        <v>2185.92</v>
      </c>
      <c r="D91">
        <v>0</v>
      </c>
      <c r="E91">
        <f>+Hoja1!C91</f>
        <v>2185.92</v>
      </c>
    </row>
    <row r="92" spans="1:5" x14ac:dyDescent="0.25">
      <c r="A92" t="str">
        <f>CONCATENATE("V",'CAPPO CORREO'!B99)</f>
        <v>V11792506</v>
      </c>
      <c r="B92" t="str">
        <f>+'CAPPO CORREO'!D99</f>
        <v>HERNANDEZ SANGRONI N</v>
      </c>
      <c r="C92">
        <f>+'CAPPO CORREO'!K99</f>
        <v>892.45</v>
      </c>
      <c r="D92">
        <v>0</v>
      </c>
      <c r="E92">
        <f>+Hoja1!C92</f>
        <v>892.45</v>
      </c>
    </row>
    <row r="93" spans="1:5" x14ac:dyDescent="0.25">
      <c r="A93" t="str">
        <f>CONCATENATE("V",'CAPPO CORREO'!B100)</f>
        <v>V11792506</v>
      </c>
      <c r="B93" t="str">
        <f>+'CAPPO CORREO'!D100</f>
        <v>HERNANDEZ SANGRONI N</v>
      </c>
      <c r="C93">
        <f>+'CAPPO CORREO'!K100</f>
        <v>505.14</v>
      </c>
      <c r="D93">
        <v>0</v>
      </c>
      <c r="E93">
        <f>+Hoja1!C93</f>
        <v>505.14</v>
      </c>
    </row>
    <row r="94" spans="1:5" x14ac:dyDescent="0.25">
      <c r="A94" t="str">
        <f>CONCATENATE("V",'CAPPO CORREO'!B101)</f>
        <v>V7447992</v>
      </c>
      <c r="B94" t="str">
        <f>+'CAPPO CORREO'!D101</f>
        <v>ISAZA BERTHA</v>
      </c>
      <c r="C94">
        <f>+'CAPPO CORREO'!K101</f>
        <v>1762.65</v>
      </c>
      <c r="D94">
        <v>0</v>
      </c>
      <c r="E94">
        <f>+Hoja1!C94</f>
        <v>1762.65</v>
      </c>
    </row>
    <row r="95" spans="1:5" x14ac:dyDescent="0.25">
      <c r="A95" t="str">
        <f>CONCATENATE("V",'CAPPO CORREO'!B102)</f>
        <v>V4731494</v>
      </c>
      <c r="B95" t="str">
        <f>+'CAPPO CORREO'!D102</f>
        <v>JIMENEZ EDGAR SOLANO</v>
      </c>
      <c r="C95">
        <f>+'CAPPO CORREO'!K102</f>
        <v>861.35</v>
      </c>
      <c r="D95">
        <v>0</v>
      </c>
      <c r="E95">
        <f>+Hoja1!C95</f>
        <v>861.35</v>
      </c>
    </row>
    <row r="96" spans="1:5" x14ac:dyDescent="0.25">
      <c r="A96" t="str">
        <f>CONCATENATE("V",'CAPPO CORREO'!B103)</f>
        <v>V4731494</v>
      </c>
      <c r="B96" t="str">
        <f>+'CAPPO CORREO'!D103</f>
        <v>JIMENEZ EDGAR SOLANO</v>
      </c>
      <c r="C96">
        <f>+'CAPPO CORREO'!K103</f>
        <v>407.4</v>
      </c>
      <c r="D96">
        <v>0</v>
      </c>
      <c r="E96">
        <f>+Hoja1!C96</f>
        <v>407.4</v>
      </c>
    </row>
    <row r="97" spans="1:5" x14ac:dyDescent="0.25">
      <c r="A97" t="str">
        <f>CONCATENATE("V",'CAPPO CORREO'!B104)</f>
        <v>V3875055</v>
      </c>
      <c r="B97" t="str">
        <f>+'CAPPO CORREO'!D104</f>
        <v>LARA LINAREZ BIANEIS</v>
      </c>
      <c r="C97">
        <f>+'CAPPO CORREO'!K104</f>
        <v>2935.61</v>
      </c>
      <c r="D97">
        <v>0</v>
      </c>
      <c r="E97">
        <f>+Hoja1!C97</f>
        <v>2935.61</v>
      </c>
    </row>
    <row r="98" spans="1:5" x14ac:dyDescent="0.25">
      <c r="A98" t="str">
        <f>CONCATENATE("V",'CAPPO CORREO'!B105)</f>
        <v>V7301470</v>
      </c>
      <c r="B98" t="str">
        <f>+'CAPPO CORREO'!D105</f>
        <v>LEON  LUIS</v>
      </c>
      <c r="C98">
        <f>+'CAPPO CORREO'!K105</f>
        <v>1610.53</v>
      </c>
      <c r="D98">
        <v>0</v>
      </c>
      <c r="E98">
        <f>+Hoja1!C98</f>
        <v>1610.53</v>
      </c>
    </row>
    <row r="99" spans="1:5" x14ac:dyDescent="0.25">
      <c r="A99" t="str">
        <f>CONCATENATE("V",'CAPPO CORREO'!B106)</f>
        <v>V10772668</v>
      </c>
      <c r="B99" t="str">
        <f>+'CAPPO CORREO'!D106</f>
        <v>LINAREZ ALVARADO MAR</v>
      </c>
      <c r="C99">
        <f>+'CAPPO CORREO'!K106</f>
        <v>1058.3699999999999</v>
      </c>
      <c r="D99">
        <v>0</v>
      </c>
      <c r="E99">
        <f>+Hoja1!C99</f>
        <v>1058.3699999999999</v>
      </c>
    </row>
    <row r="100" spans="1:5" x14ac:dyDescent="0.25">
      <c r="A100" t="str">
        <f>CONCATENATE("V",'CAPPO CORREO'!B107)</f>
        <v>V14879704</v>
      </c>
      <c r="B100" t="str">
        <f>+'CAPPO CORREO'!D107</f>
        <v>LINAREZ CHAVEZ YUCEX</v>
      </c>
      <c r="C100">
        <f>+'CAPPO CORREO'!K107</f>
        <v>1956.04</v>
      </c>
      <c r="D100">
        <v>0</v>
      </c>
      <c r="E100">
        <f>+Hoja1!C100</f>
        <v>1956.04</v>
      </c>
    </row>
    <row r="101" spans="1:5" x14ac:dyDescent="0.25">
      <c r="A101" t="str">
        <f>CONCATENATE("V",'CAPPO CORREO'!B108)</f>
        <v>V7338055</v>
      </c>
      <c r="B101" t="str">
        <f>+'CAPPO CORREO'!D108</f>
        <v>LISCANO  JAIME</v>
      </c>
      <c r="C101">
        <f>+'CAPPO CORREO'!K108</f>
        <v>1072.6099999999999</v>
      </c>
      <c r="D101">
        <v>0</v>
      </c>
      <c r="E101">
        <f>+Hoja1!C101</f>
        <v>1072.6099999999999</v>
      </c>
    </row>
    <row r="102" spans="1:5" x14ac:dyDescent="0.25">
      <c r="A102" t="str">
        <f>CONCATENATE("V",'CAPPO CORREO'!B109)</f>
        <v>V7401853</v>
      </c>
      <c r="B102" t="str">
        <f>+'CAPPO CORREO'!D109</f>
        <v>LOPEZ ANA</v>
      </c>
      <c r="C102">
        <f>+'CAPPO CORREO'!K109</f>
        <v>1408.6</v>
      </c>
      <c r="D102">
        <v>0</v>
      </c>
      <c r="E102">
        <f>+Hoja1!C102</f>
        <v>1408.6</v>
      </c>
    </row>
    <row r="103" spans="1:5" x14ac:dyDescent="0.25">
      <c r="A103" t="str">
        <f>CONCATENATE("V",'CAPPO CORREO'!B110)</f>
        <v>V7401853</v>
      </c>
      <c r="B103" t="str">
        <f>+'CAPPO CORREO'!D110</f>
        <v>LOPEZ ANA</v>
      </c>
      <c r="C103">
        <f>+'CAPPO CORREO'!K110</f>
        <v>2864.28</v>
      </c>
      <c r="D103">
        <v>0</v>
      </c>
      <c r="E103">
        <f>+Hoja1!C103</f>
        <v>2864.28</v>
      </c>
    </row>
    <row r="104" spans="1:5" x14ac:dyDescent="0.25">
      <c r="A104" t="str">
        <f>CONCATENATE("V",'CAPPO CORREO'!B111)</f>
        <v>V7401853</v>
      </c>
      <c r="B104" t="str">
        <f>+'CAPPO CORREO'!D111</f>
        <v>LOPEZ ANA</v>
      </c>
      <c r="C104">
        <f>+'CAPPO CORREO'!K111</f>
        <v>1365.17</v>
      </c>
      <c r="D104">
        <v>0</v>
      </c>
      <c r="E104">
        <f>+Hoja1!C104</f>
        <v>1365.17</v>
      </c>
    </row>
    <row r="105" spans="1:5" x14ac:dyDescent="0.25">
      <c r="A105" t="str">
        <f>CONCATENATE("V",'CAPPO CORREO'!B112)</f>
        <v>V5765952</v>
      </c>
      <c r="B105" t="str">
        <f>+'CAPPO CORREO'!D112</f>
        <v>LUCENA  JOSE</v>
      </c>
      <c r="C105">
        <f>+'CAPPO CORREO'!K112</f>
        <v>1413.47</v>
      </c>
      <c r="D105">
        <v>0</v>
      </c>
      <c r="E105">
        <f>+Hoja1!C105</f>
        <v>1413.47</v>
      </c>
    </row>
    <row r="106" spans="1:5" x14ac:dyDescent="0.25">
      <c r="A106" t="str">
        <f>CONCATENATE("V",'CAPPO CORREO'!B113)</f>
        <v>V5765952</v>
      </c>
      <c r="B106" t="str">
        <f>+'CAPPO CORREO'!D113</f>
        <v>LUCENA  JOSE</v>
      </c>
      <c r="C106">
        <f>+'CAPPO CORREO'!K113</f>
        <v>1400.67</v>
      </c>
      <c r="D106">
        <v>0</v>
      </c>
      <c r="E106">
        <f>+Hoja1!C106</f>
        <v>1400.67</v>
      </c>
    </row>
    <row r="107" spans="1:5" x14ac:dyDescent="0.25">
      <c r="A107" t="str">
        <f>CONCATENATE("V",'CAPPO CORREO'!B114)</f>
        <v>V11267932</v>
      </c>
      <c r="B107" t="str">
        <f>+'CAPPO CORREO'!D114</f>
        <v>MARCHAN  ERIKA</v>
      </c>
      <c r="C107">
        <f>+'CAPPO CORREO'!K114</f>
        <v>3460.91</v>
      </c>
      <c r="D107">
        <v>0</v>
      </c>
      <c r="E107">
        <f>+Hoja1!C107</f>
        <v>3460.91</v>
      </c>
    </row>
    <row r="108" spans="1:5" x14ac:dyDescent="0.25">
      <c r="A108" t="str">
        <f>CONCATENATE("V",'CAPPO CORREO'!B115)</f>
        <v>V11267932</v>
      </c>
      <c r="B108" t="str">
        <f>+'CAPPO CORREO'!D115</f>
        <v>MARCHAN  ERIKA</v>
      </c>
      <c r="C108">
        <f>+'CAPPO CORREO'!K115</f>
        <v>1161.92</v>
      </c>
      <c r="D108">
        <v>0</v>
      </c>
      <c r="E108">
        <f>+Hoja1!C108</f>
        <v>1161.92</v>
      </c>
    </row>
    <row r="109" spans="1:5" x14ac:dyDescent="0.25">
      <c r="A109" t="str">
        <f>CONCATENATE("V",'CAPPO CORREO'!B116)</f>
        <v>V11267932</v>
      </c>
      <c r="B109" t="str">
        <f>+'CAPPO CORREO'!D116</f>
        <v>MARCHAN  ERIKA</v>
      </c>
      <c r="C109">
        <f>+'CAPPO CORREO'!K116</f>
        <v>3077.53</v>
      </c>
      <c r="D109">
        <v>0</v>
      </c>
      <c r="E109">
        <f>+Hoja1!C109</f>
        <v>3077.53</v>
      </c>
    </row>
    <row r="110" spans="1:5" x14ac:dyDescent="0.25">
      <c r="A110" t="str">
        <f>CONCATENATE("V",'CAPPO CORREO'!B117)</f>
        <v>V11267932</v>
      </c>
      <c r="B110" t="str">
        <f>+'CAPPO CORREO'!D117</f>
        <v>MARCHAN  ERIKA</v>
      </c>
      <c r="C110">
        <f>+'CAPPO CORREO'!K117</f>
        <v>767.48</v>
      </c>
      <c r="D110">
        <v>0</v>
      </c>
      <c r="E110">
        <f>+Hoja1!C110</f>
        <v>767.48</v>
      </c>
    </row>
    <row r="111" spans="1:5" x14ac:dyDescent="0.25">
      <c r="A111" t="str">
        <f>CONCATENATE("V",'CAPPO CORREO'!B118)</f>
        <v>V5248954</v>
      </c>
      <c r="B111" t="str">
        <f>+'CAPPO CORREO'!D118</f>
        <v>MARTINEZ JOSE</v>
      </c>
      <c r="C111">
        <f>+'CAPPO CORREO'!K118</f>
        <v>640</v>
      </c>
      <c r="D111">
        <v>0</v>
      </c>
      <c r="E111">
        <f>+Hoja1!C111</f>
        <v>640</v>
      </c>
    </row>
    <row r="112" spans="1:5" x14ac:dyDescent="0.25">
      <c r="A112" t="str">
        <f>CONCATENATE("V",'CAPPO CORREO'!B119)</f>
        <v>V5248954</v>
      </c>
      <c r="B112" t="str">
        <f>+'CAPPO CORREO'!D119</f>
        <v>MARTINEZ JOSE</v>
      </c>
      <c r="C112">
        <f>+'CAPPO CORREO'!K119</f>
        <v>671.21</v>
      </c>
      <c r="D112">
        <v>0</v>
      </c>
      <c r="E112">
        <f>+Hoja1!C112</f>
        <v>671.21</v>
      </c>
    </row>
    <row r="113" spans="1:5" x14ac:dyDescent="0.25">
      <c r="A113" t="str">
        <f>CONCATENATE("V",'CAPPO CORREO'!B120)</f>
        <v>V5248954</v>
      </c>
      <c r="B113" t="str">
        <f>+'CAPPO CORREO'!D120</f>
        <v>MARTINEZ JOSE</v>
      </c>
      <c r="C113">
        <f>+'CAPPO CORREO'!K120</f>
        <v>1176.3599999999999</v>
      </c>
      <c r="D113">
        <v>0</v>
      </c>
      <c r="E113">
        <f>+Hoja1!C113</f>
        <v>1176.3599999999999</v>
      </c>
    </row>
    <row r="114" spans="1:5" x14ac:dyDescent="0.25">
      <c r="A114" t="str">
        <f>CONCATENATE("V",'CAPPO CORREO'!B121)</f>
        <v>V5248954</v>
      </c>
      <c r="B114" t="str">
        <f>+'CAPPO CORREO'!D121</f>
        <v>MARTINEZ JOSE</v>
      </c>
      <c r="C114">
        <f>+'CAPPO CORREO'!K121</f>
        <v>390</v>
      </c>
      <c r="D114">
        <v>0</v>
      </c>
      <c r="E114">
        <f>+Hoja1!C114</f>
        <v>390</v>
      </c>
    </row>
    <row r="115" spans="1:5" x14ac:dyDescent="0.25">
      <c r="A115" t="str">
        <f>CONCATENATE("V",'CAPPO CORREO'!B122)</f>
        <v>V7406353</v>
      </c>
      <c r="B115" t="str">
        <f>+'CAPPO CORREO'!D122</f>
        <v>MARTINEZ SALCEDO TIB</v>
      </c>
      <c r="C115">
        <f>+'CAPPO CORREO'!K122</f>
        <v>1224.06</v>
      </c>
      <c r="D115">
        <v>0</v>
      </c>
      <c r="E115">
        <f>+Hoja1!C115</f>
        <v>1224.06</v>
      </c>
    </row>
    <row r="116" spans="1:5" x14ac:dyDescent="0.25">
      <c r="A116" t="str">
        <f>CONCATENATE("V",'CAPPO CORREO'!B123)</f>
        <v>V11598956</v>
      </c>
      <c r="B116" t="str">
        <f>+'CAPPO CORREO'!D123</f>
        <v>MARTURET FREMIS</v>
      </c>
      <c r="C116">
        <f>+'CAPPO CORREO'!K123</f>
        <v>652.79999999999995</v>
      </c>
      <c r="D116">
        <v>0</v>
      </c>
      <c r="E116">
        <f>+Hoja1!C116</f>
        <v>652.79999999999995</v>
      </c>
    </row>
    <row r="117" spans="1:5" x14ac:dyDescent="0.25">
      <c r="A117" t="str">
        <f>CONCATENATE("V",'CAPPO CORREO'!B124)</f>
        <v>V11598956</v>
      </c>
      <c r="B117" t="str">
        <f>+'CAPPO CORREO'!D124</f>
        <v>MARTURET FREMIS</v>
      </c>
      <c r="C117">
        <f>+'CAPPO CORREO'!K124</f>
        <v>726.75</v>
      </c>
      <c r="D117">
        <v>0</v>
      </c>
      <c r="E117">
        <f>+Hoja1!C117</f>
        <v>726.75</v>
      </c>
    </row>
    <row r="118" spans="1:5" x14ac:dyDescent="0.25">
      <c r="A118" t="str">
        <f>CONCATENATE("V",'CAPPO CORREO'!B125)</f>
        <v>V13268457</v>
      </c>
      <c r="B118" t="str">
        <f>+'CAPPO CORREO'!D125</f>
        <v>MAVARE PEREZ LISBETH</v>
      </c>
      <c r="C118">
        <f>+'CAPPO CORREO'!K125</f>
        <v>881.29</v>
      </c>
      <c r="D118">
        <v>0</v>
      </c>
      <c r="E118">
        <f>+Hoja1!C118</f>
        <v>881.29</v>
      </c>
    </row>
    <row r="119" spans="1:5" x14ac:dyDescent="0.25">
      <c r="A119" t="str">
        <f>CONCATENATE("V",'CAPPO CORREO'!B126)</f>
        <v>V7393144</v>
      </c>
      <c r="B119" t="str">
        <f>+'CAPPO CORREO'!D126</f>
        <v>MEDINA HERMINIA</v>
      </c>
      <c r="C119">
        <f>+'CAPPO CORREO'!K126</f>
        <v>5026.88</v>
      </c>
      <c r="D119">
        <v>0</v>
      </c>
      <c r="E119">
        <f>+Hoja1!C119</f>
        <v>5026.88</v>
      </c>
    </row>
    <row r="120" spans="1:5" x14ac:dyDescent="0.25">
      <c r="A120" t="str">
        <f>CONCATENATE("V",'CAPPO CORREO'!B127)</f>
        <v>V5252606</v>
      </c>
      <c r="B120" t="str">
        <f>+'CAPPO CORREO'!D127</f>
        <v>MENDEZ  ESTEBAN</v>
      </c>
      <c r="C120">
        <f>+'CAPPO CORREO'!K127</f>
        <v>772.54</v>
      </c>
      <c r="D120">
        <v>0</v>
      </c>
      <c r="E120">
        <f>+Hoja1!C120</f>
        <v>772.54</v>
      </c>
    </row>
    <row r="121" spans="1:5" x14ac:dyDescent="0.25">
      <c r="A121" t="str">
        <f>CONCATENATE("V",'CAPPO CORREO'!B128)</f>
        <v>V9617493</v>
      </c>
      <c r="B121" t="str">
        <f>+'CAPPO CORREO'!D128</f>
        <v>MENDEZ MARLENE</v>
      </c>
      <c r="C121">
        <f>+'CAPPO CORREO'!K128</f>
        <v>638.41</v>
      </c>
      <c r="D121">
        <v>0</v>
      </c>
      <c r="E121">
        <f>+Hoja1!C121</f>
        <v>638.41</v>
      </c>
    </row>
    <row r="122" spans="1:5" x14ac:dyDescent="0.25">
      <c r="A122" t="str">
        <f>CONCATENATE("V",'CAPPO CORREO'!B129)</f>
        <v>V9617493</v>
      </c>
      <c r="B122" t="str">
        <f>+'CAPPO CORREO'!D129</f>
        <v>MENDEZ MARLENE</v>
      </c>
      <c r="C122">
        <f>+'CAPPO CORREO'!K129</f>
        <v>352</v>
      </c>
      <c r="D122">
        <v>0</v>
      </c>
      <c r="E122">
        <f>+Hoja1!C122</f>
        <v>352</v>
      </c>
    </row>
    <row r="123" spans="1:5" x14ac:dyDescent="0.25">
      <c r="A123" t="str">
        <f>CONCATENATE("V",'CAPPO CORREO'!B130)</f>
        <v>V5257774</v>
      </c>
      <c r="B123" t="str">
        <f>+'CAPPO CORREO'!D130</f>
        <v>MENDOZA  JORGE</v>
      </c>
      <c r="C123">
        <f>+'CAPPO CORREO'!K130</f>
        <v>483</v>
      </c>
      <c r="D123">
        <v>0</v>
      </c>
      <c r="E123">
        <f>+Hoja1!C123</f>
        <v>483</v>
      </c>
    </row>
    <row r="124" spans="1:5" x14ac:dyDescent="0.25">
      <c r="A124" t="str">
        <f>CONCATENATE("V",'CAPPO CORREO'!B131)</f>
        <v>V3317339</v>
      </c>
      <c r="B124" t="str">
        <f>+'CAPPO CORREO'!D131</f>
        <v>MONTERO  AGDIO</v>
      </c>
      <c r="C124">
        <f>+'CAPPO CORREO'!K131</f>
        <v>832.23</v>
      </c>
      <c r="D124">
        <v>0</v>
      </c>
      <c r="E124">
        <f>+Hoja1!C124</f>
        <v>832.23</v>
      </c>
    </row>
    <row r="125" spans="1:5" x14ac:dyDescent="0.25">
      <c r="A125" t="str">
        <f>CONCATENATE("V",'CAPPO CORREO'!B132)</f>
        <v>V9100619</v>
      </c>
      <c r="B125" t="str">
        <f>+'CAPPO CORREO'!D132</f>
        <v>MONTILLA  JOSE</v>
      </c>
      <c r="C125">
        <f>+'CAPPO CORREO'!K132</f>
        <v>323.2</v>
      </c>
      <c r="D125">
        <v>0</v>
      </c>
      <c r="E125">
        <f>+Hoja1!C125</f>
        <v>323.2</v>
      </c>
    </row>
    <row r="126" spans="1:5" x14ac:dyDescent="0.25">
      <c r="A126" t="str">
        <f>CONCATENATE("V",'CAPPO CORREO'!B133)</f>
        <v>V6634354</v>
      </c>
      <c r="B126" t="str">
        <f>+'CAPPO CORREO'!D133</f>
        <v>MONTILLA GIMENEZ RAM</v>
      </c>
      <c r="C126">
        <f>+'CAPPO CORREO'!K133</f>
        <v>620.12</v>
      </c>
      <c r="D126">
        <v>0</v>
      </c>
      <c r="E126">
        <f>+Hoja1!C126</f>
        <v>620.12</v>
      </c>
    </row>
    <row r="127" spans="1:5" x14ac:dyDescent="0.25">
      <c r="A127" t="str">
        <f>CONCATENATE("V",'CAPPO CORREO'!B134)</f>
        <v>V5925143</v>
      </c>
      <c r="B127" t="str">
        <f>+'CAPPO CORREO'!D134</f>
        <v>MUJICA  ARGENIS</v>
      </c>
      <c r="C127">
        <f>+'CAPPO CORREO'!K134</f>
        <v>1585.17</v>
      </c>
      <c r="D127">
        <v>0</v>
      </c>
      <c r="E127">
        <f>+Hoja1!C127</f>
        <v>1585.17</v>
      </c>
    </row>
    <row r="128" spans="1:5" x14ac:dyDescent="0.25">
      <c r="A128" t="str">
        <f>CONCATENATE("V",'CAPPO CORREO'!B135)</f>
        <v>V7417289</v>
      </c>
      <c r="B128" t="str">
        <f>+'CAPPO CORREO'!D135</f>
        <v>MUJICA DE GONZALEZ Y</v>
      </c>
      <c r="C128">
        <f>+'CAPPO CORREO'!K135</f>
        <v>841.22</v>
      </c>
      <c r="D128">
        <v>0</v>
      </c>
      <c r="E128">
        <f>+Hoja1!C128</f>
        <v>841.22</v>
      </c>
    </row>
    <row r="129" spans="1:5" x14ac:dyDescent="0.25">
      <c r="A129" t="str">
        <f>CONCATENATE("V",'CAPPO CORREO'!B136)</f>
        <v>V10760806</v>
      </c>
      <c r="B129" t="str">
        <f>+'CAPPO CORREO'!D136</f>
        <v>NOGUERA O. CARLOS .E</v>
      </c>
      <c r="C129">
        <f>+'CAPPO CORREO'!K136</f>
        <v>801.4</v>
      </c>
      <c r="D129">
        <v>0</v>
      </c>
      <c r="E129">
        <f>+Hoja1!C129</f>
        <v>801.4</v>
      </c>
    </row>
    <row r="130" spans="1:5" x14ac:dyDescent="0.25">
      <c r="A130" t="str">
        <f>CONCATENATE("V",'CAPPO CORREO'!B137)</f>
        <v>V7388038</v>
      </c>
      <c r="B130" t="str">
        <f>+'CAPPO CORREO'!D137</f>
        <v>ORELLANA FRANCELIZA</v>
      </c>
      <c r="C130">
        <f>+'CAPPO CORREO'!K137</f>
        <v>350.6</v>
      </c>
      <c r="D130">
        <v>0</v>
      </c>
      <c r="E130">
        <f>+Hoja1!C130</f>
        <v>350.6</v>
      </c>
    </row>
    <row r="131" spans="1:5" x14ac:dyDescent="0.25">
      <c r="A131" t="str">
        <f>CONCATENATE("V",'CAPPO CORREO'!B138)</f>
        <v>V3535838</v>
      </c>
      <c r="B131" t="str">
        <f>+'CAPPO CORREO'!D138</f>
        <v>OROPEZA  OMALDO</v>
      </c>
      <c r="C131">
        <f>+'CAPPO CORREO'!K138</f>
        <v>1051.55</v>
      </c>
      <c r="D131">
        <v>0</v>
      </c>
      <c r="E131">
        <f>+Hoja1!C131</f>
        <v>1051.55</v>
      </c>
    </row>
    <row r="132" spans="1:5" x14ac:dyDescent="0.25">
      <c r="A132" t="str">
        <f>CONCATENATE("V",'CAPPO CORREO'!B139)</f>
        <v>V7917981</v>
      </c>
      <c r="B132" t="str">
        <f>+'CAPPO CORREO'!D139</f>
        <v>ORTIZ LOPEZ LUIS</v>
      </c>
      <c r="C132">
        <f>+'CAPPO CORREO'!K139</f>
        <v>4801.76</v>
      </c>
      <c r="D132">
        <v>0</v>
      </c>
      <c r="E132">
        <f>+Hoja1!C132</f>
        <v>4801.76</v>
      </c>
    </row>
    <row r="133" spans="1:5" x14ac:dyDescent="0.25">
      <c r="A133" t="str">
        <f>CONCATENATE("V",'CAPPO CORREO'!B140)</f>
        <v>V7917981</v>
      </c>
      <c r="B133" t="str">
        <f>+'CAPPO CORREO'!D140</f>
        <v>ORTIZ LOPEZ LUIS</v>
      </c>
      <c r="C133">
        <f>+'CAPPO CORREO'!K140</f>
        <v>8703.0499999999993</v>
      </c>
      <c r="D133">
        <v>0</v>
      </c>
      <c r="E133">
        <f>+Hoja1!C133</f>
        <v>8703.0499999999993</v>
      </c>
    </row>
    <row r="134" spans="1:5" x14ac:dyDescent="0.25">
      <c r="A134" t="str">
        <f>CONCATENATE("V",'CAPPO CORREO'!B141)</f>
        <v>V7917981</v>
      </c>
      <c r="B134" t="str">
        <f>+'CAPPO CORREO'!D141</f>
        <v>ORTIZ LOPEZ LUIS</v>
      </c>
      <c r="C134">
        <f>+'CAPPO CORREO'!K141</f>
        <v>399.93</v>
      </c>
      <c r="D134">
        <v>0</v>
      </c>
      <c r="E134">
        <f>+Hoja1!C134</f>
        <v>399.93</v>
      </c>
    </row>
    <row r="135" spans="1:5" x14ac:dyDescent="0.25">
      <c r="A135" t="str">
        <f>CONCATENATE("V",'CAPPO CORREO'!B142)</f>
        <v>V3314884</v>
      </c>
      <c r="B135" t="str">
        <f>+'CAPPO CORREO'!D142</f>
        <v>OSTA MARIA</v>
      </c>
      <c r="C135">
        <f>+'CAPPO CORREO'!K142</f>
        <v>3206.51</v>
      </c>
      <c r="D135">
        <v>0</v>
      </c>
      <c r="E135">
        <f>+Hoja1!C135</f>
        <v>3206.51</v>
      </c>
    </row>
    <row r="136" spans="1:5" x14ac:dyDescent="0.25">
      <c r="A136" t="str">
        <f>CONCATENATE("V",'CAPPO CORREO'!B143)</f>
        <v>V11262378</v>
      </c>
      <c r="B136" t="str">
        <f>+'CAPPO CORREO'!D143</f>
        <v>PAEZ NEIDA NOHEMY</v>
      </c>
      <c r="C136">
        <f>+'CAPPO CORREO'!K143</f>
        <v>3332.71</v>
      </c>
      <c r="D136">
        <v>0</v>
      </c>
      <c r="E136">
        <f>+Hoja1!C136</f>
        <v>3332.71</v>
      </c>
    </row>
    <row r="137" spans="1:5" x14ac:dyDescent="0.25">
      <c r="A137" t="str">
        <f>CONCATENATE("V",'CAPPO CORREO'!B144)</f>
        <v>V11262378</v>
      </c>
      <c r="B137" t="str">
        <f>+'CAPPO CORREO'!D144</f>
        <v>PAEZ RIVERO LUIS ALB</v>
      </c>
      <c r="C137">
        <f>+'CAPPO CORREO'!K144</f>
        <v>671.62</v>
      </c>
      <c r="D137">
        <v>0</v>
      </c>
      <c r="E137">
        <f>+Hoja1!C137</f>
        <v>671.62</v>
      </c>
    </row>
    <row r="138" spans="1:5" x14ac:dyDescent="0.25">
      <c r="A138" t="str">
        <f>CONCATENATE("V",'CAPPO CORREO'!B145)</f>
        <v>V7395742</v>
      </c>
      <c r="B138" t="str">
        <f>+'CAPPO CORREO'!D145</f>
        <v>PARRA GLADYS</v>
      </c>
      <c r="C138">
        <f>+'CAPPO CORREO'!K145</f>
        <v>1902.2</v>
      </c>
      <c r="D138">
        <v>0</v>
      </c>
      <c r="E138">
        <f>+Hoja1!C138</f>
        <v>1902.2</v>
      </c>
    </row>
    <row r="139" spans="1:5" x14ac:dyDescent="0.25">
      <c r="A139" t="str">
        <f>CONCATENATE("V",'CAPPO CORREO'!B146)</f>
        <v>V7395742</v>
      </c>
      <c r="B139" t="str">
        <f>+'CAPPO CORREO'!D146</f>
        <v>PARRA GLADYS</v>
      </c>
      <c r="C139">
        <f>+'CAPPO CORREO'!K146</f>
        <v>715.66</v>
      </c>
      <c r="D139">
        <v>0</v>
      </c>
      <c r="E139">
        <f>+Hoja1!C139</f>
        <v>715.66</v>
      </c>
    </row>
    <row r="140" spans="1:5" x14ac:dyDescent="0.25">
      <c r="A140" t="str">
        <f>CONCATENATE("V",'CAPPO CORREO'!B147)</f>
        <v>V7425430</v>
      </c>
      <c r="B140" t="str">
        <f>+'CAPPO CORREO'!D147</f>
        <v>PE#A MENDOZA JUAN</v>
      </c>
      <c r="C140">
        <f>+'CAPPO CORREO'!K147</f>
        <v>2517.1</v>
      </c>
      <c r="D140">
        <v>0</v>
      </c>
      <c r="E140">
        <f>+Hoja1!C140</f>
        <v>2517.1</v>
      </c>
    </row>
    <row r="141" spans="1:5" x14ac:dyDescent="0.25">
      <c r="A141" t="str">
        <f>CONCATENATE("V",'CAPPO CORREO'!B148)</f>
        <v>V4754833</v>
      </c>
      <c r="B141" t="str">
        <f>+'CAPPO CORREO'!D148</f>
        <v>PEREZ ABELARDO</v>
      </c>
      <c r="C141">
        <f>+'CAPPO CORREO'!K148</f>
        <v>2373.4499999999998</v>
      </c>
      <c r="D141">
        <v>0</v>
      </c>
      <c r="E141">
        <f>+Hoja1!C141</f>
        <v>2373.4499999999998</v>
      </c>
    </row>
    <row r="142" spans="1:5" x14ac:dyDescent="0.25">
      <c r="A142" t="str">
        <f>CONCATENATE("V",'CAPPO CORREO'!B149)</f>
        <v>V4754833</v>
      </c>
      <c r="B142" t="str">
        <f>+'CAPPO CORREO'!D149</f>
        <v>PEREZ ABELARDO</v>
      </c>
      <c r="C142">
        <f>+'CAPPO CORREO'!K149</f>
        <v>790</v>
      </c>
      <c r="D142">
        <v>0</v>
      </c>
      <c r="E142">
        <f>+Hoja1!C142</f>
        <v>790</v>
      </c>
    </row>
    <row r="143" spans="1:5" x14ac:dyDescent="0.25">
      <c r="A143" t="str">
        <f>CONCATENATE("V",'CAPPO CORREO'!B150)</f>
        <v>V6573855</v>
      </c>
      <c r="B143" t="str">
        <f>+'CAPPO CORREO'!D150</f>
        <v>PEREZ AVILA LUIS</v>
      </c>
      <c r="C143">
        <f>+'CAPPO CORREO'!K150</f>
        <v>2770.11</v>
      </c>
      <c r="D143">
        <v>0</v>
      </c>
      <c r="E143">
        <f>+Hoja1!C143</f>
        <v>2770.11</v>
      </c>
    </row>
    <row r="144" spans="1:5" x14ac:dyDescent="0.25">
      <c r="A144" t="str">
        <f>CONCATENATE("V",'CAPPO CORREO'!B151)</f>
        <v>V6573855</v>
      </c>
      <c r="B144" t="str">
        <f>+'CAPPO CORREO'!D151</f>
        <v>PEREZ AVILA LUIS</v>
      </c>
      <c r="C144">
        <f>+'CAPPO CORREO'!K151</f>
        <v>1739.95</v>
      </c>
      <c r="D144">
        <v>0</v>
      </c>
      <c r="E144">
        <f>+Hoja1!C144</f>
        <v>1739.95</v>
      </c>
    </row>
    <row r="145" spans="1:5" x14ac:dyDescent="0.25">
      <c r="A145" t="str">
        <f>CONCATENATE("V",'CAPPO CORREO'!B152)</f>
        <v>V6575243</v>
      </c>
      <c r="B145" t="str">
        <f>+'CAPPO CORREO'!D152</f>
        <v>PEREZ FREDIS</v>
      </c>
      <c r="C145">
        <f>+'CAPPO CORREO'!K152</f>
        <v>877.76</v>
      </c>
      <c r="D145">
        <v>0</v>
      </c>
      <c r="E145">
        <f>+Hoja1!C145</f>
        <v>877.76</v>
      </c>
    </row>
    <row r="146" spans="1:5" x14ac:dyDescent="0.25">
      <c r="A146" t="str">
        <f>CONCATENATE("V",'CAPPO CORREO'!B153)</f>
        <v>V13566631</v>
      </c>
      <c r="B146" t="str">
        <f>+'CAPPO CORREO'!D153</f>
        <v>PEREZ MONTILLA EDUAR</v>
      </c>
      <c r="C146">
        <f>+'CAPPO CORREO'!K153</f>
        <v>2639.13</v>
      </c>
      <c r="D146">
        <v>0</v>
      </c>
      <c r="E146">
        <f>+Hoja1!C146</f>
        <v>2639.13</v>
      </c>
    </row>
    <row r="147" spans="1:5" x14ac:dyDescent="0.25">
      <c r="A147" t="str">
        <f>CONCATENATE("V",'CAPPO CORREO'!B154)</f>
        <v>V12698965</v>
      </c>
      <c r="B147" t="str">
        <f>+'CAPPO CORREO'!D154</f>
        <v>PIÑA  DAISY</v>
      </c>
      <c r="C147">
        <f>+'CAPPO CORREO'!K154</f>
        <v>352</v>
      </c>
      <c r="D147">
        <v>0</v>
      </c>
      <c r="E147">
        <f>+Hoja1!C147</f>
        <v>352</v>
      </c>
    </row>
    <row r="148" spans="1:5" x14ac:dyDescent="0.25">
      <c r="A148" t="str">
        <f>CONCATENATE("V",'CAPPO CORREO'!B155)</f>
        <v>V16641426</v>
      </c>
      <c r="B148" t="str">
        <f>+'CAPPO CORREO'!D155</f>
        <v>PIÑA A. JOSE</v>
      </c>
      <c r="C148">
        <f>+'CAPPO CORREO'!K155</f>
        <v>1116.56</v>
      </c>
      <c r="D148">
        <v>0</v>
      </c>
      <c r="E148">
        <f>+Hoja1!C148</f>
        <v>1116.56</v>
      </c>
    </row>
    <row r="149" spans="1:5" x14ac:dyDescent="0.25">
      <c r="A149" t="str">
        <f>CONCATENATE("V",'CAPPO CORREO'!B156)</f>
        <v>V3533360</v>
      </c>
      <c r="B149" t="str">
        <f>+'CAPPO CORREO'!D156</f>
        <v>PIÑA JOSE</v>
      </c>
      <c r="C149">
        <f>+'CAPPO CORREO'!K156</f>
        <v>1500.59</v>
      </c>
      <c r="D149">
        <v>0</v>
      </c>
      <c r="E149">
        <f>+Hoja1!C149</f>
        <v>1500.59</v>
      </c>
    </row>
    <row r="150" spans="1:5" x14ac:dyDescent="0.25">
      <c r="A150" t="str">
        <f>CONCATENATE("V",'CAPPO CORREO'!B157)</f>
        <v>V9557875</v>
      </c>
      <c r="B150" t="str">
        <f>+'CAPPO CORREO'!D157</f>
        <v>QUERALES NORYS</v>
      </c>
      <c r="C150">
        <f>+'CAPPO CORREO'!K157</f>
        <v>681.76</v>
      </c>
      <c r="D150">
        <v>0</v>
      </c>
      <c r="E150">
        <f>+Hoja1!C150</f>
        <v>681.76</v>
      </c>
    </row>
    <row r="151" spans="1:5" x14ac:dyDescent="0.25">
      <c r="A151" t="str">
        <f>CONCATENATE("V",'CAPPO CORREO'!B158)</f>
        <v>V7429274</v>
      </c>
      <c r="B151" t="str">
        <f>+'CAPPO CORREO'!D158</f>
        <v>QUINTERO  ROY</v>
      </c>
      <c r="C151">
        <f>+'CAPPO CORREO'!K158</f>
        <v>520.99</v>
      </c>
      <c r="D151">
        <v>0</v>
      </c>
      <c r="E151">
        <f>+Hoja1!C151</f>
        <v>520.99</v>
      </c>
    </row>
    <row r="152" spans="1:5" x14ac:dyDescent="0.25">
      <c r="A152" t="str">
        <f>CONCATENATE("V",'CAPPO CORREO'!B159)</f>
        <v>V7409730</v>
      </c>
      <c r="B152" t="str">
        <f>+'CAPPO CORREO'!D159</f>
        <v>RIVERO JOSE</v>
      </c>
      <c r="C152">
        <f>+'CAPPO CORREO'!K159</f>
        <v>1414.4</v>
      </c>
      <c r="D152">
        <v>0</v>
      </c>
      <c r="E152">
        <f>+Hoja1!C152</f>
        <v>1414.4</v>
      </c>
    </row>
    <row r="153" spans="1:5" x14ac:dyDescent="0.25">
      <c r="A153" t="str">
        <f>CONCATENATE("V",'CAPPO CORREO'!B160)</f>
        <v>V14405401</v>
      </c>
      <c r="B153" t="str">
        <f>+'CAPPO CORREO'!D160</f>
        <v>RIVERO PALACIOS EBER</v>
      </c>
      <c r="C153">
        <f>+'CAPPO CORREO'!K160</f>
        <v>1314.12</v>
      </c>
      <c r="D153">
        <v>0</v>
      </c>
      <c r="E153">
        <f>+Hoja1!C153</f>
        <v>1314.12</v>
      </c>
    </row>
    <row r="154" spans="1:5" x14ac:dyDescent="0.25">
      <c r="A154" t="str">
        <f>CONCATENATE("V",'CAPPO CORREO'!B161)</f>
        <v>V7436077</v>
      </c>
      <c r="B154" t="str">
        <f>+'CAPPO CORREO'!D161</f>
        <v>RODRIGUEZ  C   EVELI</v>
      </c>
      <c r="C154">
        <f>+'CAPPO CORREO'!K161</f>
        <v>938.08</v>
      </c>
      <c r="D154">
        <v>0</v>
      </c>
      <c r="E154">
        <f>+Hoja1!C154</f>
        <v>938.08</v>
      </c>
    </row>
    <row r="155" spans="1:5" x14ac:dyDescent="0.25">
      <c r="A155" t="str">
        <f>CONCATENATE("V",'CAPPO CORREO'!B162)</f>
        <v>V9613403</v>
      </c>
      <c r="B155" t="str">
        <f>+'CAPPO CORREO'!D162</f>
        <v>RODRIGUEZ AIDA</v>
      </c>
      <c r="C155">
        <f>+'CAPPO CORREO'!K162</f>
        <v>1017.48</v>
      </c>
      <c r="D155">
        <v>0</v>
      </c>
      <c r="E155">
        <f>+Hoja1!C155</f>
        <v>1017.48</v>
      </c>
    </row>
    <row r="156" spans="1:5" x14ac:dyDescent="0.25">
      <c r="A156" t="str">
        <f>CONCATENATE("V",'CAPPO CORREO'!B163)</f>
        <v>V9613403</v>
      </c>
      <c r="B156" t="str">
        <f>+'CAPPO CORREO'!D163</f>
        <v>RODRIGUEZ AIDA</v>
      </c>
      <c r="C156">
        <f>+'CAPPO CORREO'!K163</f>
        <v>407.4</v>
      </c>
      <c r="D156">
        <v>0</v>
      </c>
      <c r="E156">
        <f>+Hoja1!C156</f>
        <v>407.4</v>
      </c>
    </row>
    <row r="157" spans="1:5" x14ac:dyDescent="0.25">
      <c r="A157" t="str">
        <f>CONCATENATE("V",'CAPPO CORREO'!B164)</f>
        <v>V14335445</v>
      </c>
      <c r="B157" t="str">
        <f>+'CAPPO CORREO'!D164</f>
        <v>RODRIGUEZ ALVARADO Y</v>
      </c>
      <c r="C157">
        <f>+'CAPPO CORREO'!K164</f>
        <v>374.75</v>
      </c>
      <c r="D157">
        <v>0</v>
      </c>
      <c r="E157">
        <f>+Hoja1!C157</f>
        <v>374.75</v>
      </c>
    </row>
    <row r="158" spans="1:5" x14ac:dyDescent="0.25">
      <c r="A158" t="str">
        <f>CONCATENATE("V",'CAPPO CORREO'!B165)</f>
        <v>V14335445</v>
      </c>
      <c r="B158" t="str">
        <f>+'CAPPO CORREO'!D165</f>
        <v>RODRIGUEZ ALVARADO Y</v>
      </c>
      <c r="C158">
        <f>+'CAPPO CORREO'!K165</f>
        <v>678.2</v>
      </c>
      <c r="D158">
        <v>0</v>
      </c>
      <c r="E158">
        <f>+Hoja1!C158</f>
        <v>678.2</v>
      </c>
    </row>
    <row r="159" spans="1:5" x14ac:dyDescent="0.25">
      <c r="A159" t="str">
        <f>CONCATENATE("V",'CAPPO CORREO'!B166)</f>
        <v>V14335445</v>
      </c>
      <c r="B159" t="str">
        <f>+'CAPPO CORREO'!D166</f>
        <v>RODRIGUEZ ALVARADO Y</v>
      </c>
      <c r="C159">
        <f>+'CAPPO CORREO'!K166</f>
        <v>1633.83</v>
      </c>
      <c r="D159">
        <v>0</v>
      </c>
      <c r="E159">
        <f>+Hoja1!C159</f>
        <v>1633.83</v>
      </c>
    </row>
    <row r="160" spans="1:5" x14ac:dyDescent="0.25">
      <c r="A160" t="str">
        <f>CONCATENATE("V",'CAPPO CORREO'!B167)</f>
        <v>V9543174</v>
      </c>
      <c r="B160" t="str">
        <f>+'CAPPO CORREO'!D167</f>
        <v>RODRIGUEZ FIGUEROA S</v>
      </c>
      <c r="C160">
        <f>+'CAPPO CORREO'!K167</f>
        <v>1310.76</v>
      </c>
      <c r="D160">
        <v>0</v>
      </c>
      <c r="E160">
        <f>+Hoja1!C160</f>
        <v>1310.76</v>
      </c>
    </row>
    <row r="161" spans="1:5" x14ac:dyDescent="0.25">
      <c r="A161" t="str">
        <f>CONCATENATE("V",'CAPPO CORREO'!B168)</f>
        <v>V7425063</v>
      </c>
      <c r="B161" t="str">
        <f>+'CAPPO CORREO'!D168</f>
        <v>RODRIGUEZ LIGIA</v>
      </c>
      <c r="C161">
        <f>+'CAPPO CORREO'!K168</f>
        <v>1686.32</v>
      </c>
      <c r="D161">
        <v>0</v>
      </c>
      <c r="E161">
        <f>+Hoja1!C161</f>
        <v>1686.32</v>
      </c>
    </row>
    <row r="162" spans="1:5" x14ac:dyDescent="0.25">
      <c r="A162" t="str">
        <f>CONCATENATE("V",'CAPPO CORREO'!B169)</f>
        <v>V7425063</v>
      </c>
      <c r="B162" t="str">
        <f>+'CAPPO CORREO'!D169</f>
        <v>RODRIGUEZ LIGIA</v>
      </c>
      <c r="C162">
        <f>+'CAPPO CORREO'!K169</f>
        <v>344.06</v>
      </c>
      <c r="D162">
        <v>0</v>
      </c>
      <c r="E162">
        <f>+Hoja1!C162</f>
        <v>344.06</v>
      </c>
    </row>
    <row r="163" spans="1:5" x14ac:dyDescent="0.25">
      <c r="A163" t="str">
        <f>CONCATENATE("V",'CAPPO CORREO'!B170)</f>
        <v>V13785997</v>
      </c>
      <c r="B163" t="str">
        <f>+'CAPPO CORREO'!D170</f>
        <v>RODRIGUEZ WILLIAM</v>
      </c>
      <c r="C163">
        <f>+'CAPPO CORREO'!K170</f>
        <v>1939.4</v>
      </c>
      <c r="D163">
        <v>0</v>
      </c>
      <c r="E163">
        <f>+Hoja1!C163</f>
        <v>1939.4</v>
      </c>
    </row>
    <row r="164" spans="1:5" x14ac:dyDescent="0.25">
      <c r="A164" t="str">
        <f>CONCATENATE("V",'CAPPO CORREO'!B171)</f>
        <v>V11694758</v>
      </c>
      <c r="B164" t="str">
        <f>+'CAPPO CORREO'!D171</f>
        <v>ROJAS  VALDEMAR</v>
      </c>
      <c r="C164">
        <f>+'CAPPO CORREO'!K171</f>
        <v>2904.97</v>
      </c>
      <c r="D164">
        <v>0</v>
      </c>
      <c r="E164">
        <f>+Hoja1!C164</f>
        <v>2904.97</v>
      </c>
    </row>
    <row r="165" spans="1:5" x14ac:dyDescent="0.25">
      <c r="A165" t="str">
        <f>CONCATENATE("V",'CAPPO CORREO'!B172)</f>
        <v>V11881224</v>
      </c>
      <c r="B165" t="str">
        <f>+'CAPPO CORREO'!D172</f>
        <v>ROJAS REINALDO</v>
      </c>
      <c r="C165">
        <f>+'CAPPO CORREO'!K172</f>
        <v>1007.07</v>
      </c>
      <c r="D165">
        <v>0</v>
      </c>
      <c r="E165">
        <f>+Hoja1!C165</f>
        <v>1007.07</v>
      </c>
    </row>
    <row r="166" spans="1:5" x14ac:dyDescent="0.25">
      <c r="A166" t="str">
        <f>CONCATENATE("V",'CAPPO CORREO'!B173)</f>
        <v>V11881224</v>
      </c>
      <c r="B166" t="str">
        <f>+'CAPPO CORREO'!D173</f>
        <v>ROJAS REINALDO</v>
      </c>
      <c r="C166">
        <f>+'CAPPO CORREO'!K173</f>
        <v>1369.12</v>
      </c>
      <c r="D166">
        <v>0</v>
      </c>
      <c r="E166">
        <f>+Hoja1!C166</f>
        <v>1369.12</v>
      </c>
    </row>
    <row r="167" spans="1:5" x14ac:dyDescent="0.25">
      <c r="A167" t="str">
        <f>CONCATENATE("V",'CAPPO CORREO'!B174)</f>
        <v>V11881224</v>
      </c>
      <c r="B167" t="str">
        <f>+'CAPPO CORREO'!D174</f>
        <v>ROJAS REINALDO</v>
      </c>
      <c r="C167">
        <f>+'CAPPO CORREO'!K174</f>
        <v>469.39</v>
      </c>
      <c r="D167">
        <v>0</v>
      </c>
      <c r="E167">
        <f>+Hoja1!C167</f>
        <v>469.39</v>
      </c>
    </row>
    <row r="168" spans="1:5" x14ac:dyDescent="0.25">
      <c r="A168" t="str">
        <f>CONCATENATE("V",'CAPPO CORREO'!B175)</f>
        <v>V23156662</v>
      </c>
      <c r="B168" t="str">
        <f>+'CAPPO CORREO'!D175</f>
        <v>RUIZ RICO RAFAEL</v>
      </c>
      <c r="C168">
        <f>+'CAPPO CORREO'!K175</f>
        <v>1412.32</v>
      </c>
      <c r="D168">
        <v>0</v>
      </c>
      <c r="E168">
        <f>+Hoja1!C168</f>
        <v>1412.32</v>
      </c>
    </row>
    <row r="169" spans="1:5" x14ac:dyDescent="0.25">
      <c r="A169" t="str">
        <f>CONCATENATE("V",'CAPPO CORREO'!B176)</f>
        <v>V23156662</v>
      </c>
      <c r="B169" t="str">
        <f>+'CAPPO CORREO'!D176</f>
        <v>RUIZ RICO RAFAEL</v>
      </c>
      <c r="C169">
        <f>+'CAPPO CORREO'!K176</f>
        <v>271.56</v>
      </c>
      <c r="D169">
        <v>0</v>
      </c>
      <c r="E169">
        <f>+Hoja1!C169</f>
        <v>271.56</v>
      </c>
    </row>
    <row r="170" spans="1:5" x14ac:dyDescent="0.25">
      <c r="A170" t="str">
        <f>CONCATENATE("V",'CAPPO CORREO'!B177)</f>
        <v>V7373089</v>
      </c>
      <c r="B170" t="str">
        <f>+'CAPPO CORREO'!D177</f>
        <v>SALAS FELIX</v>
      </c>
      <c r="C170">
        <f>+'CAPPO CORREO'!K177</f>
        <v>1283.94</v>
      </c>
      <c r="D170">
        <v>0</v>
      </c>
      <c r="E170">
        <f>+Hoja1!C170</f>
        <v>1283.94</v>
      </c>
    </row>
    <row r="171" spans="1:5" x14ac:dyDescent="0.25">
      <c r="A171" t="str">
        <f>CONCATENATE("V",'CAPPO CORREO'!B178)</f>
        <v>V12935606</v>
      </c>
      <c r="B171" t="str">
        <f>+'CAPPO CORREO'!D178</f>
        <v>SALCEDO  WILMER</v>
      </c>
      <c r="C171">
        <f>+'CAPPO CORREO'!K178</f>
        <v>792.29</v>
      </c>
      <c r="D171">
        <v>0</v>
      </c>
      <c r="E171">
        <f>+Hoja1!C171</f>
        <v>792.29</v>
      </c>
    </row>
    <row r="172" spans="1:5" x14ac:dyDescent="0.25">
      <c r="A172" t="str">
        <f>CONCATENATE("V",'CAPPO CORREO'!B179)</f>
        <v>V7360346</v>
      </c>
      <c r="B172" t="str">
        <f>+'CAPPO CORREO'!D179</f>
        <v>SANCHEZ HERNAN</v>
      </c>
      <c r="C172">
        <f>+'CAPPO CORREO'!K179</f>
        <v>1056.1300000000001</v>
      </c>
      <c r="D172">
        <v>0</v>
      </c>
      <c r="E172">
        <f>+Hoja1!C172</f>
        <v>1056.1300000000001</v>
      </c>
    </row>
    <row r="173" spans="1:5" x14ac:dyDescent="0.25">
      <c r="A173" t="str">
        <f>CONCATENATE("V",'CAPPO CORREO'!B180)</f>
        <v>V7360346</v>
      </c>
      <c r="B173" t="str">
        <f>+'CAPPO CORREO'!D180</f>
        <v>SANCHEZ HERNAN</v>
      </c>
      <c r="C173">
        <f>+'CAPPO CORREO'!K180</f>
        <v>3971.61</v>
      </c>
      <c r="D173">
        <v>0</v>
      </c>
      <c r="E173">
        <f>+Hoja1!C173</f>
        <v>3971.61</v>
      </c>
    </row>
    <row r="174" spans="1:5" x14ac:dyDescent="0.25">
      <c r="A174" t="str">
        <f>CONCATENATE("V",'CAPPO CORREO'!B181)</f>
        <v>V14513487</v>
      </c>
      <c r="B174" t="str">
        <f>+'CAPPO CORREO'!D181</f>
        <v>SANCHEZ SEGOBIA ERIK</v>
      </c>
      <c r="C174">
        <f>+'CAPPO CORREO'!K181</f>
        <v>2021.48</v>
      </c>
      <c r="D174">
        <v>0</v>
      </c>
      <c r="E174">
        <f>+Hoja1!C174</f>
        <v>2021.48</v>
      </c>
    </row>
    <row r="175" spans="1:5" x14ac:dyDescent="0.25">
      <c r="A175" t="str">
        <f>CONCATENATE("V",'CAPPO CORREO'!B182)</f>
        <v>V13265462</v>
      </c>
      <c r="B175" t="str">
        <f>+'CAPPO CORREO'!D182</f>
        <v>SANCHEZ ZULEIMA</v>
      </c>
      <c r="C175">
        <f>+'CAPPO CORREO'!K182</f>
        <v>2267.25</v>
      </c>
      <c r="D175">
        <v>0</v>
      </c>
      <c r="E175">
        <f>+Hoja1!C175</f>
        <v>2267.25</v>
      </c>
    </row>
    <row r="176" spans="1:5" x14ac:dyDescent="0.25">
      <c r="A176" t="str">
        <f>CONCATENATE("V",'CAPPO CORREO'!B183)</f>
        <v>V13265462</v>
      </c>
      <c r="B176" t="str">
        <f>+'CAPPO CORREO'!D183</f>
        <v>SANCHEZ ZULEIMA</v>
      </c>
      <c r="C176">
        <f>+'CAPPO CORREO'!K183</f>
        <v>1684.74</v>
      </c>
      <c r="D176">
        <v>0</v>
      </c>
      <c r="E176">
        <f>+Hoja1!C176</f>
        <v>1684.74</v>
      </c>
    </row>
    <row r="177" spans="1:5" x14ac:dyDescent="0.25">
      <c r="A177" t="str">
        <f>CONCATENATE("V",'CAPPO CORREO'!B184)</f>
        <v>V12024178</v>
      </c>
      <c r="B177" t="str">
        <f>+'CAPPO CORREO'!D184</f>
        <v>SIVIRA RIVAS WINSTON</v>
      </c>
      <c r="C177">
        <f>+'CAPPO CORREO'!K184</f>
        <v>1228.9000000000001</v>
      </c>
      <c r="D177">
        <v>0</v>
      </c>
      <c r="E177">
        <f>+Hoja1!C177</f>
        <v>1228.9000000000001</v>
      </c>
    </row>
    <row r="178" spans="1:5" x14ac:dyDescent="0.25">
      <c r="A178" t="str">
        <f>CONCATENATE("V",'CAPPO CORREO'!B185)</f>
        <v>V15597541</v>
      </c>
      <c r="B178" t="str">
        <f>+'CAPPO CORREO'!D185</f>
        <v>SOTO PEREZ DEXI</v>
      </c>
      <c r="C178">
        <f>+'CAPPO CORREO'!K185</f>
        <v>2080.5300000000002</v>
      </c>
      <c r="D178">
        <v>0</v>
      </c>
      <c r="E178">
        <f>+Hoja1!C178</f>
        <v>2080.5300000000002</v>
      </c>
    </row>
    <row r="179" spans="1:5" x14ac:dyDescent="0.25">
      <c r="A179" t="str">
        <f>CONCATENATE("V",'CAPPO CORREO'!B186)</f>
        <v>V15597541</v>
      </c>
      <c r="B179" t="str">
        <f>+'CAPPO CORREO'!D186</f>
        <v>SOTO PEREZ DEXI</v>
      </c>
      <c r="C179">
        <f>+'CAPPO CORREO'!K186</f>
        <v>664.84</v>
      </c>
      <c r="D179">
        <v>0</v>
      </c>
      <c r="E179">
        <f>+Hoja1!C179</f>
        <v>664.84</v>
      </c>
    </row>
    <row r="180" spans="1:5" x14ac:dyDescent="0.25">
      <c r="A180" t="str">
        <f>CONCATENATE("V",'CAPPO CORREO'!B187)</f>
        <v>V7331943</v>
      </c>
      <c r="B180" t="str">
        <f>+'CAPPO CORREO'!D187</f>
        <v>SUAREZ JOSE</v>
      </c>
      <c r="C180">
        <f>+'CAPPO CORREO'!K187</f>
        <v>2350.11</v>
      </c>
      <c r="D180">
        <v>0</v>
      </c>
      <c r="E180">
        <f>+Hoja1!C180</f>
        <v>2350.11</v>
      </c>
    </row>
    <row r="181" spans="1:5" x14ac:dyDescent="0.25">
      <c r="A181" t="str">
        <f>CONCATENATE("V",'CAPPO CORREO'!B188)</f>
        <v>V7331943</v>
      </c>
      <c r="B181" t="str">
        <f>+'CAPPO CORREO'!D188</f>
        <v>SUAREZ JOSE</v>
      </c>
      <c r="C181">
        <f>+'CAPPO CORREO'!K188</f>
        <v>538.51</v>
      </c>
      <c r="D181">
        <v>0</v>
      </c>
      <c r="E181">
        <f>+Hoja1!C181</f>
        <v>538.51</v>
      </c>
    </row>
    <row r="182" spans="1:5" x14ac:dyDescent="0.25">
      <c r="A182" t="str">
        <f>CONCATENATE("V",'CAPPO CORREO'!B189)</f>
        <v>V7331943</v>
      </c>
      <c r="B182" t="str">
        <f>+'CAPPO CORREO'!D189</f>
        <v>SUAREZ JOSE</v>
      </c>
      <c r="C182">
        <f>+'CAPPO CORREO'!K189</f>
        <v>536.36</v>
      </c>
      <c r="D182">
        <v>0</v>
      </c>
      <c r="E182">
        <f>+Hoja1!C182</f>
        <v>536.36</v>
      </c>
    </row>
    <row r="183" spans="1:5" x14ac:dyDescent="0.25">
      <c r="A183" t="str">
        <f>CONCATENATE("V",'CAPPO CORREO'!B190)</f>
        <v>V7331943</v>
      </c>
      <c r="B183" t="str">
        <f>+'CAPPO CORREO'!D190</f>
        <v>SUAREZ JOSE</v>
      </c>
      <c r="C183">
        <f>+'CAPPO CORREO'!K190</f>
        <v>469.39</v>
      </c>
      <c r="D183">
        <v>0</v>
      </c>
      <c r="E183">
        <f>+Hoja1!C183</f>
        <v>469.39</v>
      </c>
    </row>
    <row r="184" spans="1:5" x14ac:dyDescent="0.25">
      <c r="A184" t="str">
        <f>CONCATENATE("V",'CAPPO CORREO'!B191)</f>
        <v>V7331943</v>
      </c>
      <c r="B184" t="str">
        <f>+'CAPPO CORREO'!D191</f>
        <v>SUAREZ JOSE</v>
      </c>
      <c r="C184">
        <f>+'CAPPO CORREO'!K191</f>
        <v>420</v>
      </c>
      <c r="D184">
        <v>0</v>
      </c>
      <c r="E184">
        <f>+Hoja1!C184</f>
        <v>420</v>
      </c>
    </row>
    <row r="185" spans="1:5" x14ac:dyDescent="0.25">
      <c r="A185" t="str">
        <f>CONCATENATE("V",'CAPPO CORREO'!B192)</f>
        <v>V7331943</v>
      </c>
      <c r="B185" t="str">
        <f>+'CAPPO CORREO'!D192</f>
        <v>SUAREZ JOSE</v>
      </c>
      <c r="C185">
        <f>+'CAPPO CORREO'!K192</f>
        <v>1463.16</v>
      </c>
      <c r="D185">
        <v>0</v>
      </c>
      <c r="E185">
        <f>+Hoja1!C185</f>
        <v>1463.16</v>
      </c>
    </row>
    <row r="186" spans="1:5" x14ac:dyDescent="0.25">
      <c r="A186" t="str">
        <f>CONCATENATE("V",'CAPPO CORREO'!B193)</f>
        <v>V7331943</v>
      </c>
      <c r="B186" t="str">
        <f>+'CAPPO CORREO'!D193</f>
        <v>SUAREZ JOSE</v>
      </c>
      <c r="C186">
        <f>+'CAPPO CORREO'!K193</f>
        <v>385.24</v>
      </c>
      <c r="D186">
        <v>0</v>
      </c>
      <c r="E186">
        <f>+Hoja1!C186</f>
        <v>385.24</v>
      </c>
    </row>
    <row r="187" spans="1:5" x14ac:dyDescent="0.25">
      <c r="A187" t="str">
        <f>CONCATENATE("V",'CAPPO CORREO'!B194)</f>
        <v>V17727473</v>
      </c>
      <c r="B187" t="str">
        <f>+'CAPPO CORREO'!D194</f>
        <v>SUAREZ PEROZO DIXON</v>
      </c>
      <c r="C187">
        <f>+'CAPPO CORREO'!K194</f>
        <v>1139.1199999999999</v>
      </c>
      <c r="D187">
        <v>0</v>
      </c>
      <c r="E187">
        <f>+Hoja1!C187</f>
        <v>1139.1199999999999</v>
      </c>
    </row>
    <row r="188" spans="1:5" x14ac:dyDescent="0.25">
      <c r="A188" t="str">
        <f>CONCATENATE("V",'CAPPO CORREO'!B195)</f>
        <v>V17727473</v>
      </c>
      <c r="B188" t="str">
        <f>+'CAPPO CORREO'!D195</f>
        <v>SUAREZ PEROZO DIXON</v>
      </c>
      <c r="C188">
        <f>+'CAPPO CORREO'!K195</f>
        <v>2270.2199999999998</v>
      </c>
      <c r="D188">
        <v>0</v>
      </c>
      <c r="E188">
        <f>+Hoja1!C188</f>
        <v>2270.2199999999998</v>
      </c>
    </row>
    <row r="189" spans="1:5" x14ac:dyDescent="0.25">
      <c r="A189" t="str">
        <f>CONCATENATE("V",'CAPPO CORREO'!B196)</f>
        <v>V11633896</v>
      </c>
      <c r="B189" t="str">
        <f>+'CAPPO CORREO'!D196</f>
        <v>TORO AQUILES</v>
      </c>
      <c r="C189">
        <f>+'CAPPO CORREO'!K196</f>
        <v>719.39</v>
      </c>
      <c r="D189">
        <v>0</v>
      </c>
      <c r="E189">
        <f>+Hoja1!C189</f>
        <v>719.39</v>
      </c>
    </row>
    <row r="190" spans="1:5" x14ac:dyDescent="0.25">
      <c r="A190" t="str">
        <f>CONCATENATE("V",'CAPPO CORREO'!B197)</f>
        <v>V7311255</v>
      </c>
      <c r="B190" t="str">
        <f>+'CAPPO CORREO'!D197</f>
        <v>TUA  DILCIA</v>
      </c>
      <c r="C190">
        <f>+'CAPPO CORREO'!K197</f>
        <v>3166.92</v>
      </c>
      <c r="D190">
        <v>0</v>
      </c>
      <c r="E190">
        <f>+Hoja1!C190</f>
        <v>3166.92</v>
      </c>
    </row>
    <row r="191" spans="1:5" x14ac:dyDescent="0.25">
      <c r="A191" t="str">
        <f>CONCATENATE("V",'CAPPO CORREO'!B198)</f>
        <v>V15668851</v>
      </c>
      <c r="B191" t="str">
        <f>+'CAPPO CORREO'!D198</f>
        <v>URETA JORGE V.</v>
      </c>
      <c r="C191">
        <f>+'CAPPO CORREO'!K198</f>
        <v>3347.47</v>
      </c>
      <c r="D191">
        <v>0</v>
      </c>
      <c r="E191">
        <f>+Hoja1!C191</f>
        <v>3347.47</v>
      </c>
    </row>
    <row r="192" spans="1:5" x14ac:dyDescent="0.25">
      <c r="A192" t="str">
        <f>CONCATENATE("V",'CAPPO CORREO'!B199)</f>
        <v>V15668851</v>
      </c>
      <c r="B192" t="str">
        <f>+'CAPPO CORREO'!D199</f>
        <v>URETA JORGE V.</v>
      </c>
      <c r="C192">
        <f>+'CAPPO CORREO'!K199</f>
        <v>962.45</v>
      </c>
      <c r="D192">
        <v>0</v>
      </c>
      <c r="E192">
        <f>+Hoja1!C192</f>
        <v>962.45</v>
      </c>
    </row>
    <row r="193" spans="1:5" x14ac:dyDescent="0.25">
      <c r="A193" t="str">
        <f>CONCATENATE("V",'CAPPO CORREO'!B200)</f>
        <v>V9607091</v>
      </c>
      <c r="B193" t="str">
        <f>+'CAPPO CORREO'!D200</f>
        <v>UZCATEGUI  EDUARDO</v>
      </c>
      <c r="C193">
        <f>+'CAPPO CORREO'!K200</f>
        <v>2936.56</v>
      </c>
      <c r="D193">
        <v>0</v>
      </c>
      <c r="E193">
        <f>+Hoja1!C193</f>
        <v>2936.56</v>
      </c>
    </row>
    <row r="194" spans="1:5" x14ac:dyDescent="0.25">
      <c r="A194" t="str">
        <f>CONCATENATE("V",'CAPPO CORREO'!B201)</f>
        <v>V9607091</v>
      </c>
      <c r="B194" t="str">
        <f>+'CAPPO CORREO'!D201</f>
        <v>UZCATEGUI  EDUARDO</v>
      </c>
      <c r="C194">
        <f>+'CAPPO CORREO'!K201</f>
        <v>2169.7199999999998</v>
      </c>
      <c r="D194">
        <v>0</v>
      </c>
      <c r="E194">
        <f>+Hoja1!C194</f>
        <v>2169.7199999999998</v>
      </c>
    </row>
    <row r="195" spans="1:5" x14ac:dyDescent="0.25">
      <c r="A195" t="str">
        <f>CONCATENATE("V",'CAPPO CORREO'!B202)</f>
        <v>V15729536</v>
      </c>
      <c r="B195" t="str">
        <f>+'CAPPO CORREO'!D202</f>
        <v>VALECILLOS GIAN CARL</v>
      </c>
      <c r="C195">
        <f>+'CAPPO CORREO'!K202</f>
        <v>1701.88</v>
      </c>
      <c r="D195">
        <v>0</v>
      </c>
      <c r="E195">
        <f>+Hoja1!C195</f>
        <v>1701.88</v>
      </c>
    </row>
    <row r="196" spans="1:5" x14ac:dyDescent="0.25">
      <c r="A196" t="str">
        <f>CONCATENATE("V",'CAPPO CORREO'!B203)</f>
        <v>V15729536</v>
      </c>
      <c r="B196" t="str">
        <f>+'CAPPO CORREO'!D203</f>
        <v>VALECILLOS GIAN CARL</v>
      </c>
      <c r="C196">
        <f>+'CAPPO CORREO'!K203</f>
        <v>1191.76</v>
      </c>
      <c r="D196">
        <v>0</v>
      </c>
      <c r="E196">
        <f>+Hoja1!C196</f>
        <v>1191.76</v>
      </c>
    </row>
    <row r="197" spans="1:5" x14ac:dyDescent="0.25">
      <c r="A197" t="str">
        <f>CONCATENATE("V",'CAPPO CORREO'!B204)</f>
        <v>V11790818</v>
      </c>
      <c r="B197" t="str">
        <f>+'CAPPO CORREO'!D204</f>
        <v>VASQUEZ FRANKLIN</v>
      </c>
      <c r="C197">
        <f>+'CAPPO CORREO'!K204</f>
        <v>2212.65</v>
      </c>
      <c r="D197">
        <v>0</v>
      </c>
      <c r="E197">
        <f>+Hoja1!C197</f>
        <v>2212.65</v>
      </c>
    </row>
    <row r="198" spans="1:5" x14ac:dyDescent="0.25">
      <c r="A198" t="str">
        <f>CONCATENATE("V",'CAPPO CORREO'!B205)</f>
        <v>V16137706</v>
      </c>
      <c r="B198" t="str">
        <f>+'CAPPO CORREO'!D205</f>
        <v>VASQUEZ U. EDIXON</v>
      </c>
      <c r="C198">
        <f>+'CAPPO CORREO'!K205</f>
        <v>1591.45</v>
      </c>
      <c r="D198">
        <v>0</v>
      </c>
      <c r="E198">
        <f>+Hoja1!C198</f>
        <v>1591.45</v>
      </c>
    </row>
    <row r="199" spans="1:5" x14ac:dyDescent="0.25">
      <c r="A199" t="str">
        <f>CONCATENATE("V",'CAPPO CORREO'!B206)</f>
        <v>V16137706</v>
      </c>
      <c r="B199" t="str">
        <f>+'CAPPO CORREO'!D206</f>
        <v>VASQUEZ U. EDIXON</v>
      </c>
      <c r="C199">
        <f>+'CAPPO CORREO'!K206</f>
        <v>712.59</v>
      </c>
      <c r="D199">
        <v>0</v>
      </c>
      <c r="E199">
        <f>+Hoja1!C199</f>
        <v>712.59</v>
      </c>
    </row>
    <row r="200" spans="1:5" x14ac:dyDescent="0.25">
      <c r="A200" t="str">
        <f>CONCATENATE("V",'CAPPO CORREO'!B207)</f>
        <v>V10774121</v>
      </c>
      <c r="B200" t="str">
        <f>+'CAPPO CORREO'!D207</f>
        <v>VIRGUEZ AGUILAR DIXO</v>
      </c>
      <c r="C200">
        <f>+'CAPPO CORREO'!K207</f>
        <v>677.69</v>
      </c>
      <c r="D200">
        <v>0</v>
      </c>
      <c r="E200">
        <f>+Hoja1!C200</f>
        <v>677.69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CAPPO CORREO</vt:lpstr>
      <vt:lpstr>Hoja1</vt:lpstr>
    </vt:vector>
  </TitlesOfParts>
  <Company>farmacia universidad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farmacia universidad cappoucla</dc:creator>
  <cp:lastModifiedBy>gsanchez</cp:lastModifiedBy>
  <cp:lastPrinted>2016-04-04T19:02:47Z</cp:lastPrinted>
  <dcterms:created xsi:type="dcterms:W3CDTF">2011-11-14T15:12:23Z</dcterms:created>
  <dcterms:modified xsi:type="dcterms:W3CDTF">2016-04-08T16:50:25Z</dcterms:modified>
</cp:coreProperties>
</file>