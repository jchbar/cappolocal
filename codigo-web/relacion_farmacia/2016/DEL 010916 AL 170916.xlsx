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25" windowWidth="15135" windowHeight="7950"/>
  </bookViews>
  <sheets>
    <sheet name="CAPPO" sheetId="1" r:id="rId1"/>
    <sheet name="Hoja1" sheetId="2" r:id="rId2"/>
  </sheets>
  <calcPr calcId="124519"/>
</workbook>
</file>

<file path=xl/calcChain.xml><?xml version="1.0" encoding="utf-8"?>
<calcChain xmlns="http://schemas.openxmlformats.org/spreadsheetml/2006/main">
  <c r="G102" i="1"/>
  <c r="E102"/>
  <c r="H102"/>
  <c r="K102"/>
  <c r="H44" l="1"/>
  <c r="K44"/>
  <c r="H43"/>
  <c r="H31"/>
  <c r="K31"/>
  <c r="H12" l="1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2"/>
  <c r="H33"/>
  <c r="H34"/>
  <c r="H35"/>
  <c r="H36"/>
  <c r="H37"/>
  <c r="H38"/>
  <c r="H39"/>
  <c r="H40"/>
  <c r="H41"/>
  <c r="H42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2"/>
  <c r="K33"/>
  <c r="K34"/>
  <c r="K35"/>
  <c r="K36"/>
  <c r="K37"/>
  <c r="K38"/>
  <c r="K39"/>
  <c r="K40"/>
  <c r="K41"/>
  <c r="K42"/>
  <c r="K43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H11" l="1"/>
  <c r="J102" l="1"/>
  <c r="F102"/>
  <c r="K11" l="1"/>
</calcChain>
</file>

<file path=xl/sharedStrings.xml><?xml version="1.0" encoding="utf-8"?>
<sst xmlns="http://schemas.openxmlformats.org/spreadsheetml/2006/main" count="386" uniqueCount="277">
  <si>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</si>
  <si>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</si>
  <si>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</si>
  <si>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</si>
  <si>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</si>
  <si>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</si>
  <si>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</si>
  <si>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</si>
  <si>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</si>
  <si>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</si>
  <si>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</si>
  <si>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</si>
  <si>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</si>
  <si>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</si>
  <si>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</si>
  <si>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CAPPO-UCLA</t>
  </si>
  <si>
    <t xml:space="preserve"> CAPPO - UCLA</t>
  </si>
  <si>
    <t>Cliente</t>
  </si>
  <si>
    <t>Total Factura</t>
  </si>
  <si>
    <t>GONZALEZ JORGE</t>
  </si>
  <si>
    <t>BARRIO B. PATRICIA</t>
  </si>
  <si>
    <t>CORDERO ROBERT</t>
  </si>
  <si>
    <t>17104709</t>
  </si>
  <si>
    <t>0934</t>
  </si>
  <si>
    <t>12849330</t>
  </si>
  <si>
    <t>0339</t>
  </si>
  <si>
    <t>0850</t>
  </si>
  <si>
    <t>13774684</t>
  </si>
  <si>
    <t>0196</t>
  </si>
  <si>
    <t>0863</t>
  </si>
  <si>
    <t>GALLARDO SILVERIO</t>
  </si>
  <si>
    <t>0889</t>
  </si>
  <si>
    <t>0893</t>
  </si>
  <si>
    <t>GARCIA GUSTAVO</t>
  </si>
  <si>
    <t>13527636</t>
  </si>
  <si>
    <t>0727</t>
  </si>
  <si>
    <t>GARCIA RUBEN</t>
  </si>
  <si>
    <t>09614364</t>
  </si>
  <si>
    <t>0909</t>
  </si>
  <si>
    <t>HERNANDEZ JORGE</t>
  </si>
  <si>
    <t>1337</t>
  </si>
  <si>
    <t>LOPEZ ANA</t>
  </si>
  <si>
    <t>1317</t>
  </si>
  <si>
    <t xml:space="preserve">LISCANO JAIME </t>
  </si>
  <si>
    <t>13785661</t>
  </si>
  <si>
    <t>1621</t>
  </si>
  <si>
    <t>ORTIZ JAIRO</t>
  </si>
  <si>
    <t>1736</t>
  </si>
  <si>
    <t>PEREZ SOTO AURA</t>
  </si>
  <si>
    <t>14335445</t>
  </si>
  <si>
    <t>0408</t>
  </si>
  <si>
    <t>14293690</t>
  </si>
  <si>
    <t>2095</t>
  </si>
  <si>
    <t>SANCHEZ MARCHAN GLENDA</t>
  </si>
  <si>
    <t>2044</t>
  </si>
  <si>
    <t>SANCHEZ HERNAN</t>
  </si>
  <si>
    <t>2047</t>
  </si>
  <si>
    <t>SOTO EDUARDO</t>
  </si>
  <si>
    <t>1478</t>
  </si>
  <si>
    <t>MEDINA RODRIGUEZ LUIS</t>
  </si>
  <si>
    <t>15668151</t>
  </si>
  <si>
    <t>2354</t>
  </si>
  <si>
    <t>2506</t>
  </si>
  <si>
    <t xml:space="preserve">YUSTIZ JOSE </t>
  </si>
  <si>
    <t>2322</t>
  </si>
  <si>
    <t>VELASQUEZ EMILIO</t>
  </si>
  <si>
    <t>1442</t>
  </si>
  <si>
    <t>Glenda Sanchez</t>
  </si>
  <si>
    <t>Desde  01/09/16 Hasta: 17/09/16</t>
  </si>
  <si>
    <t>0128</t>
  </si>
  <si>
    <t>ALVARADO OTTO</t>
  </si>
  <si>
    <t>588795</t>
  </si>
  <si>
    <t>588971</t>
  </si>
  <si>
    <t xml:space="preserve">AZUAJE ALEXANDER </t>
  </si>
  <si>
    <t>589054</t>
  </si>
  <si>
    <t>589056</t>
  </si>
  <si>
    <t>589259</t>
  </si>
  <si>
    <t>12848749</t>
  </si>
  <si>
    <t>0174</t>
  </si>
  <si>
    <t>ARRIECHE P. SILVIO</t>
  </si>
  <si>
    <t>589083</t>
  </si>
  <si>
    <t>589085</t>
  </si>
  <si>
    <t>589267</t>
  </si>
  <si>
    <t>589268</t>
  </si>
  <si>
    <t>0134</t>
  </si>
  <si>
    <t>ANGULO ANA</t>
  </si>
  <si>
    <t>589182</t>
  </si>
  <si>
    <t>18785684</t>
  </si>
  <si>
    <t>2613</t>
  </si>
  <si>
    <t>ALVAREZ NINOSKA</t>
  </si>
  <si>
    <t>589212</t>
  </si>
  <si>
    <t>20046584</t>
  </si>
  <si>
    <t>0269</t>
  </si>
  <si>
    <t>BELLO CALANCHE KENDER</t>
  </si>
  <si>
    <t>588952</t>
  </si>
  <si>
    <t>588951</t>
  </si>
  <si>
    <t>20046577</t>
  </si>
  <si>
    <t>0271</t>
  </si>
  <si>
    <t>BELLO C. CRISTIAN R.</t>
  </si>
  <si>
    <t>588954</t>
  </si>
  <si>
    <t>588953</t>
  </si>
  <si>
    <t>588965</t>
  </si>
  <si>
    <t>588966</t>
  </si>
  <si>
    <t>11784637</t>
  </si>
  <si>
    <t>0227</t>
  </si>
  <si>
    <t>BRITO MARTINEZ YASMIN</t>
  </si>
  <si>
    <t>588892</t>
  </si>
  <si>
    <t>11787653</t>
  </si>
  <si>
    <t>0357</t>
  </si>
  <si>
    <t>CASTILLO M. EDGAR</t>
  </si>
  <si>
    <t>589154</t>
  </si>
  <si>
    <t>12018852</t>
  </si>
  <si>
    <t>0381</t>
  </si>
  <si>
    <t>CONDES HECTOR</t>
  </si>
  <si>
    <t>588870</t>
  </si>
  <si>
    <t>588872</t>
  </si>
  <si>
    <t>589000</t>
  </si>
  <si>
    <t>589191</t>
  </si>
  <si>
    <t>589193</t>
  </si>
  <si>
    <t>11594236</t>
  </si>
  <si>
    <t>0512</t>
  </si>
  <si>
    <t>DURAN JESUS</t>
  </si>
  <si>
    <t>589269</t>
  </si>
  <si>
    <t>588849</t>
  </si>
  <si>
    <t>588910</t>
  </si>
  <si>
    <t>14143188</t>
  </si>
  <si>
    <t>0633</t>
  </si>
  <si>
    <t>ESCALONA OVIEDO CARLOLUIS</t>
  </si>
  <si>
    <t>59063</t>
  </si>
  <si>
    <t>11792127</t>
  </si>
  <si>
    <t>0873</t>
  </si>
  <si>
    <t>GARCIA PEDRO</t>
  </si>
  <si>
    <t>589084</t>
  </si>
  <si>
    <t xml:space="preserve">GUASIMUCARO HENRY </t>
  </si>
  <si>
    <t>589091</t>
  </si>
  <si>
    <t>10849907</t>
  </si>
  <si>
    <t>0938</t>
  </si>
  <si>
    <t>GRATEROL JHONNY</t>
  </si>
  <si>
    <t>589034</t>
  </si>
  <si>
    <t>14093727</t>
  </si>
  <si>
    <t>0946</t>
  </si>
  <si>
    <t>GIMENEZ JUAN</t>
  </si>
  <si>
    <t>588901</t>
  </si>
  <si>
    <t>588991</t>
  </si>
  <si>
    <t>588900</t>
  </si>
  <si>
    <t>588864</t>
  </si>
  <si>
    <t>588866</t>
  </si>
  <si>
    <t>588783</t>
  </si>
  <si>
    <t>588784</t>
  </si>
  <si>
    <t>588846</t>
  </si>
  <si>
    <t>2507</t>
  </si>
  <si>
    <t>12021966</t>
  </si>
  <si>
    <t>0929</t>
  </si>
  <si>
    <t>HERNANDEZ ROSMER</t>
  </si>
  <si>
    <t>588947</t>
  </si>
  <si>
    <t>13188137</t>
  </si>
  <si>
    <t>0943</t>
  </si>
  <si>
    <t>HERNANDEZ HECTOR</t>
  </si>
  <si>
    <t>588885</t>
  </si>
  <si>
    <t>588968</t>
  </si>
  <si>
    <t>588914</t>
  </si>
  <si>
    <t>ISAZA BERTHA</t>
  </si>
  <si>
    <t>589296</t>
  </si>
  <si>
    <t>588994</t>
  </si>
  <si>
    <t>588855</t>
  </si>
  <si>
    <t>589019</t>
  </si>
  <si>
    <t>589020</t>
  </si>
  <si>
    <t>589234</t>
  </si>
  <si>
    <t>1474</t>
  </si>
  <si>
    <t>MUJICA DE GONZALES YORMAN</t>
  </si>
  <si>
    <t>589219</t>
  </si>
  <si>
    <t>589220</t>
  </si>
  <si>
    <t xml:space="preserve">MARTINEZ JOSE </t>
  </si>
  <si>
    <t>589125</t>
  </si>
  <si>
    <t>14877620</t>
  </si>
  <si>
    <t>1514</t>
  </si>
  <si>
    <t>MENDOZA TUA IGNACIO</t>
  </si>
  <si>
    <t>589097</t>
  </si>
  <si>
    <t>589158</t>
  </si>
  <si>
    <t>11783201</t>
  </si>
  <si>
    <t>1786</t>
  </si>
  <si>
    <t xml:space="preserve">PEREZ ALEXANDER </t>
  </si>
  <si>
    <t>589244</t>
  </si>
  <si>
    <t>17859806</t>
  </si>
  <si>
    <t>0265</t>
  </si>
  <si>
    <t>PEROZO DIONELA</t>
  </si>
  <si>
    <t>588836</t>
  </si>
  <si>
    <t>588835</t>
  </si>
  <si>
    <t>588843</t>
  </si>
  <si>
    <t>588841</t>
  </si>
  <si>
    <t>588842</t>
  </si>
  <si>
    <t>1805</t>
  </si>
  <si>
    <t>QUERALEZ RAFAEL</t>
  </si>
  <si>
    <t>589026</t>
  </si>
  <si>
    <t>1913</t>
  </si>
  <si>
    <t>RODRIGUEZ MELQUIADES</t>
  </si>
  <si>
    <t>589210</t>
  </si>
  <si>
    <t>1954</t>
  </si>
  <si>
    <t>RODRIGUEZ C. EVELIO</t>
  </si>
  <si>
    <t>588809</t>
  </si>
  <si>
    <t>1951</t>
  </si>
  <si>
    <t>RIVERO FREDDY</t>
  </si>
  <si>
    <t>588940</t>
  </si>
  <si>
    <t>0403</t>
  </si>
  <si>
    <t xml:space="preserve">RODRIGUEZ AIDA </t>
  </si>
  <si>
    <t>589059</t>
  </si>
  <si>
    <t>1924</t>
  </si>
  <si>
    <t xml:space="preserve">RAMIREZ MARI#O ALEXANDER </t>
  </si>
  <si>
    <t>589174</t>
  </si>
  <si>
    <t>589201</t>
  </si>
  <si>
    <t>10778464</t>
  </si>
  <si>
    <t>2081</t>
  </si>
  <si>
    <t>SANCHEZ PEROZO NYREE</t>
  </si>
  <si>
    <t>588830</t>
  </si>
  <si>
    <t>588832</t>
  </si>
  <si>
    <t>588831</t>
  </si>
  <si>
    <t>589260</t>
  </si>
  <si>
    <t>588995</t>
  </si>
  <si>
    <t>08/19/16</t>
  </si>
  <si>
    <t>589037</t>
  </si>
  <si>
    <t>588865</t>
  </si>
  <si>
    <t>588867</t>
  </si>
  <si>
    <t>588788</t>
  </si>
  <si>
    <t>2107</t>
  </si>
  <si>
    <t>TORRES HERNAN</t>
  </si>
  <si>
    <t>588998</t>
  </si>
  <si>
    <t>589261</t>
  </si>
  <si>
    <t>589263</t>
  </si>
  <si>
    <t>11790818</t>
  </si>
  <si>
    <t>2337</t>
  </si>
  <si>
    <t>VASQUEZ FRANKLIN</t>
  </si>
  <si>
    <t>589155</t>
  </si>
  <si>
    <t>15729536</t>
  </si>
  <si>
    <t>2343</t>
  </si>
  <si>
    <t xml:space="preserve">VALECILLOS GIAN CARLOS </t>
  </si>
  <si>
    <t>589041</t>
  </si>
  <si>
    <t>VIRGUEZ U. PAUCIDES A.</t>
  </si>
  <si>
    <t>588828</t>
  </si>
  <si>
    <t>588827</t>
  </si>
  <si>
    <t>589045</t>
  </si>
  <si>
    <t>10848158</t>
  </si>
  <si>
    <t>2315</t>
  </si>
  <si>
    <t xml:space="preserve">VASQUEZ JORGE </t>
  </si>
  <si>
    <t>588889</t>
  </si>
  <si>
    <t>588888</t>
  </si>
  <si>
    <t>588890</t>
  </si>
  <si>
    <t>588980</t>
  </si>
  <si>
    <t>2341</t>
  </si>
  <si>
    <t>VISCAYA PEDRO</t>
  </si>
  <si>
    <t>588793</t>
  </si>
  <si>
    <t>589077</t>
  </si>
  <si>
    <t>RODRIGUEZ A. YOVANNI</t>
  </si>
  <si>
    <t>7325722</t>
  </si>
  <si>
    <t>2910376</t>
  </si>
  <si>
    <t>9547148</t>
  </si>
  <si>
    <t>7426046</t>
  </si>
  <si>
    <t>5257727</t>
  </si>
  <si>
    <t>3963688</t>
  </si>
  <si>
    <t>7447992</t>
  </si>
  <si>
    <t>7338055</t>
  </si>
  <si>
    <t>7401853</t>
  </si>
  <si>
    <t>9612692</t>
  </si>
  <si>
    <t>7417289</t>
  </si>
  <si>
    <t>5248954</t>
  </si>
  <si>
    <t>9545198</t>
  </si>
  <si>
    <t>4107436</t>
  </si>
  <si>
    <t>4065648</t>
  </si>
  <si>
    <t>7436077</t>
  </si>
  <si>
    <t>3710064</t>
  </si>
  <si>
    <t>9613403</t>
  </si>
  <si>
    <t>7412535</t>
  </si>
  <si>
    <t>7360346</t>
  </si>
  <si>
    <t>5255641</t>
  </si>
  <si>
    <t>4194671</t>
  </si>
  <si>
    <t>4383023</t>
  </si>
  <si>
    <t>7449457</t>
  </si>
  <si>
    <t>5436619</t>
  </si>
</sst>
</file>

<file path=xl/styles.xml><?xml version="1.0" encoding="utf-8"?>
<styleSheet xmlns="http://schemas.openxmlformats.org/spreadsheetml/2006/main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4" fontId="6" fillId="0" borderId="0" xfId="1" applyNumberFormat="1" applyFont="1" applyBorder="1" applyAlignment="1">
      <alignment horizontal="right"/>
    </xf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0" fontId="7" fillId="0" borderId="0" xfId="1" applyFont="1" applyAlignment="1"/>
    <xf numFmtId="49" fontId="7" fillId="0" borderId="0" xfId="1" applyNumberFormat="1" applyFont="1" applyAlignment="1"/>
    <xf numFmtId="49" fontId="1" fillId="0" borderId="0" xfId="1" applyNumberFormat="1"/>
    <xf numFmtId="49" fontId="0" fillId="0" borderId="0" xfId="0" applyNumberFormat="1"/>
    <xf numFmtId="0" fontId="11" fillId="0" borderId="0" xfId="0" applyFont="1"/>
    <xf numFmtId="164" fontId="11" fillId="0" borderId="0" xfId="0" applyNumberFormat="1" applyFont="1"/>
    <xf numFmtId="49" fontId="11" fillId="0" borderId="0" xfId="0" applyNumberFormat="1" applyFont="1" applyAlignment="1">
      <alignment horizontal="center"/>
    </xf>
    <xf numFmtId="164" fontId="12" fillId="0" borderId="7" xfId="0" applyNumberFormat="1" applyFont="1" applyBorder="1"/>
    <xf numFmtId="167" fontId="13" fillId="0" borderId="7" xfId="1" applyNumberFormat="1" applyFont="1" applyBorder="1" applyAlignment="1">
      <alignment horizontal="center"/>
    </xf>
    <xf numFmtId="49" fontId="13" fillId="0" borderId="1" xfId="1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/>
    </xf>
    <xf numFmtId="49" fontId="13" fillId="0" borderId="7" xfId="1" applyNumberFormat="1" applyFont="1" applyBorder="1" applyAlignment="1">
      <alignment horizontal="center"/>
    </xf>
    <xf numFmtId="0" fontId="0" fillId="0" borderId="7" xfId="0" applyBorder="1"/>
    <xf numFmtId="164" fontId="6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13" fillId="0" borderId="11" xfId="1" applyNumberFormat="1" applyFont="1" applyBorder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49" fontId="13" fillId="0" borderId="11" xfId="1" applyNumberFormat="1" applyFont="1" applyBorder="1" applyAlignment="1">
      <alignment horizontal="center"/>
    </xf>
    <xf numFmtId="49" fontId="0" fillId="0" borderId="7" xfId="0" applyNumberFormat="1" applyFont="1" applyBorder="1" applyAlignment="1">
      <alignment horizontal="center"/>
    </xf>
    <xf numFmtId="164" fontId="0" fillId="0" borderId="0" xfId="0" applyNumberFormat="1" applyFont="1"/>
    <xf numFmtId="0" fontId="0" fillId="0" borderId="7" xfId="0" applyFont="1" applyBorder="1"/>
    <xf numFmtId="164" fontId="0" fillId="0" borderId="7" xfId="0" applyNumberFormat="1" applyFont="1" applyBorder="1"/>
    <xf numFmtId="4" fontId="12" fillId="0" borderId="7" xfId="0" applyNumberFormat="1" applyFont="1" applyBorder="1"/>
    <xf numFmtId="0" fontId="18" fillId="0" borderId="7" xfId="1" applyFont="1" applyBorder="1" applyAlignment="1">
      <alignment horizontal="center"/>
    </xf>
    <xf numFmtId="49" fontId="18" fillId="0" borderId="7" xfId="1" applyNumberFormat="1" applyFont="1" applyBorder="1" applyAlignment="1">
      <alignment horizontal="center"/>
    </xf>
    <xf numFmtId="165" fontId="18" fillId="0" borderId="7" xfId="1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4" fontId="18" fillId="0" borderId="7" xfId="1" applyNumberFormat="1" applyFont="1" applyBorder="1" applyAlignment="1">
      <alignment horizontal="center"/>
    </xf>
    <xf numFmtId="164" fontId="18" fillId="0" borderId="1" xfId="1" applyNumberFormat="1" applyFont="1" applyFill="1" applyBorder="1" applyAlignment="1"/>
    <xf numFmtId="164" fontId="12" fillId="0" borderId="0" xfId="0" applyNumberFormat="1" applyFont="1"/>
    <xf numFmtId="167" fontId="13" fillId="0" borderId="0" xfId="1" applyNumberFormat="1" applyFont="1" applyBorder="1" applyAlignment="1">
      <alignment horizontal="center"/>
    </xf>
    <xf numFmtId="164" fontId="18" fillId="0" borderId="0" xfId="1" applyNumberFormat="1" applyFont="1" applyBorder="1" applyAlignment="1">
      <alignment horizontal="center"/>
    </xf>
    <xf numFmtId="49" fontId="0" fillId="0" borderId="7" xfId="0" applyNumberFormat="1" applyBorder="1"/>
    <xf numFmtId="164" fontId="0" fillId="0" borderId="7" xfId="0" applyNumberFormat="1" applyFont="1" applyFill="1" applyBorder="1"/>
    <xf numFmtId="167" fontId="13" fillId="0" borderId="0" xfId="1" applyNumberFormat="1" applyFont="1" applyBorder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49" fontId="0" fillId="0" borderId="11" xfId="0" applyNumberFormat="1" applyBorder="1"/>
    <xf numFmtId="167" fontId="13" fillId="0" borderId="11" xfId="1" applyNumberFormat="1" applyFont="1" applyFill="1" applyBorder="1" applyAlignment="1">
      <alignment horizontal="center"/>
    </xf>
    <xf numFmtId="164" fontId="12" fillId="0" borderId="7" xfId="0" applyNumberFormat="1" applyFont="1" applyFill="1" applyBorder="1"/>
    <xf numFmtId="49" fontId="0" fillId="0" borderId="7" xfId="0" applyNumberFormat="1" applyFont="1" applyFill="1" applyBorder="1" applyAlignment="1">
      <alignment horizontal="center"/>
    </xf>
    <xf numFmtId="164" fontId="13" fillId="0" borderId="7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7" fillId="0" borderId="8" xfId="1" applyFont="1" applyBorder="1" applyAlignment="1">
      <alignment horizontal="center"/>
    </xf>
    <xf numFmtId="0" fontId="15" fillId="0" borderId="0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49" fontId="17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2</xdr:col>
      <xdr:colOff>209549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1" tint="4.9989318521683403E-2"/>
  </sheetPr>
  <dimension ref="A1:T108"/>
  <sheetViews>
    <sheetView tabSelected="1" topLeftCell="A73" workbookViewId="0">
      <selection activeCell="B101" sqref="B101"/>
    </sheetView>
  </sheetViews>
  <sheetFormatPr baseColWidth="10" defaultRowHeight="15"/>
  <cols>
    <col min="1" max="1" width="10.42578125" customWidth="1"/>
    <col min="2" max="2" width="9" style="16" bestFit="1" customWidth="1"/>
    <col min="3" max="3" width="10.5703125" customWidth="1"/>
    <col min="4" max="4" width="23.7109375" customWidth="1"/>
    <col min="5" max="5" width="10.85546875" customWidth="1"/>
    <col min="6" max="6" width="10" hidden="1" customWidth="1"/>
    <col min="7" max="7" width="9.140625" bestFit="1" customWidth="1"/>
    <col min="8" max="8" width="11" customWidth="1"/>
    <col min="9" max="9" width="7.42578125" style="27" bestFit="1" customWidth="1"/>
    <col min="10" max="10" width="6.42578125" customWidth="1"/>
    <col min="11" max="11" width="10.140625" bestFit="1" customWidth="1"/>
  </cols>
  <sheetData>
    <row r="1" spans="1:12" ht="15.7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0"/>
    </row>
    <row r="2" spans="1:12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11"/>
    </row>
    <row r="3" spans="1:12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12"/>
    </row>
    <row r="4" spans="1:1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12"/>
    </row>
    <row r="5" spans="1:1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12"/>
    </row>
    <row r="6" spans="1:1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12"/>
    </row>
    <row r="7" spans="1:12">
      <c r="A7" s="59" t="s">
        <v>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13"/>
    </row>
    <row r="8" spans="1:12">
      <c r="A8" s="60" t="s">
        <v>16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14"/>
    </row>
    <row r="9" spans="1:12">
      <c r="A9" s="55" t="s">
        <v>68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13"/>
    </row>
    <row r="10" spans="1:12">
      <c r="A10" s="36" t="s">
        <v>4</v>
      </c>
      <c r="B10" s="37" t="s">
        <v>5</v>
      </c>
      <c r="C10" s="38" t="s">
        <v>6</v>
      </c>
      <c r="D10" s="39" t="s">
        <v>17</v>
      </c>
      <c r="E10" s="39" t="s">
        <v>8</v>
      </c>
      <c r="F10" s="40" t="s">
        <v>9</v>
      </c>
      <c r="G10" s="40" t="s">
        <v>11</v>
      </c>
      <c r="H10" s="41" t="s">
        <v>18</v>
      </c>
      <c r="I10" s="39" t="s">
        <v>7</v>
      </c>
      <c r="J10" s="40" t="s">
        <v>10</v>
      </c>
      <c r="K10" s="40" t="s">
        <v>12</v>
      </c>
      <c r="L10" s="1"/>
    </row>
    <row r="11" spans="1:12">
      <c r="A11" s="21">
        <v>42614</v>
      </c>
      <c r="B11" s="22" t="s">
        <v>252</v>
      </c>
      <c r="C11" s="22" t="s">
        <v>69</v>
      </c>
      <c r="D11" s="33" t="s">
        <v>70</v>
      </c>
      <c r="E11" s="20">
        <v>819.75</v>
      </c>
      <c r="F11" s="20">
        <v>0</v>
      </c>
      <c r="G11" s="20">
        <v>0</v>
      </c>
      <c r="H11" s="20">
        <f>E11+G11</f>
        <v>819.75</v>
      </c>
      <c r="I11" s="31" t="s">
        <v>71</v>
      </c>
      <c r="J11" s="23">
        <v>0</v>
      </c>
      <c r="K11" s="23">
        <f t="shared" ref="K11:K76" si="0">E11+G11</f>
        <v>819.75</v>
      </c>
    </row>
    <row r="12" spans="1:12">
      <c r="A12" s="21">
        <v>42619</v>
      </c>
      <c r="B12" s="22" t="s">
        <v>252</v>
      </c>
      <c r="C12" s="22" t="s">
        <v>69</v>
      </c>
      <c r="D12" s="33" t="s">
        <v>70</v>
      </c>
      <c r="E12" s="20">
        <v>3254.79</v>
      </c>
      <c r="F12" s="20">
        <v>0</v>
      </c>
      <c r="G12" s="20">
        <v>0</v>
      </c>
      <c r="H12" s="20">
        <f t="shared" ref="H12:H77" si="1">E12+G12</f>
        <v>3254.79</v>
      </c>
      <c r="I12" s="31" t="s">
        <v>72</v>
      </c>
      <c r="J12" s="23">
        <v>0</v>
      </c>
      <c r="K12" s="23">
        <f t="shared" si="0"/>
        <v>3254.79</v>
      </c>
    </row>
    <row r="13" spans="1:12">
      <c r="A13" s="21">
        <v>42621</v>
      </c>
      <c r="B13" s="22" t="s">
        <v>27</v>
      </c>
      <c r="C13" s="22" t="s">
        <v>28</v>
      </c>
      <c r="D13" s="33" t="s">
        <v>73</v>
      </c>
      <c r="E13" s="20">
        <v>1142.75</v>
      </c>
      <c r="F13" s="35">
        <v>0</v>
      </c>
      <c r="G13" s="20">
        <v>0</v>
      </c>
      <c r="H13" s="20">
        <f t="shared" si="1"/>
        <v>1142.75</v>
      </c>
      <c r="I13" s="31" t="s">
        <v>74</v>
      </c>
      <c r="J13" s="23">
        <v>0</v>
      </c>
      <c r="K13" s="23">
        <f t="shared" si="0"/>
        <v>1142.75</v>
      </c>
    </row>
    <row r="14" spans="1:12">
      <c r="A14" s="21">
        <v>42621</v>
      </c>
      <c r="B14" s="22" t="s">
        <v>27</v>
      </c>
      <c r="C14" s="22" t="s">
        <v>28</v>
      </c>
      <c r="D14" s="33" t="s">
        <v>73</v>
      </c>
      <c r="E14" s="20">
        <v>217.23</v>
      </c>
      <c r="F14" s="35">
        <v>0</v>
      </c>
      <c r="G14" s="20">
        <v>0</v>
      </c>
      <c r="H14" s="20">
        <f t="shared" si="1"/>
        <v>217.23</v>
      </c>
      <c r="I14" s="31" t="s">
        <v>75</v>
      </c>
      <c r="J14" s="23">
        <v>0</v>
      </c>
      <c r="K14" s="23">
        <f t="shared" si="0"/>
        <v>217.23</v>
      </c>
    </row>
    <row r="15" spans="1:12">
      <c r="A15" s="21">
        <v>42629</v>
      </c>
      <c r="B15" s="22" t="s">
        <v>27</v>
      </c>
      <c r="C15" s="22" t="s">
        <v>28</v>
      </c>
      <c r="D15" s="33" t="s">
        <v>73</v>
      </c>
      <c r="E15" s="20">
        <v>1384.11</v>
      </c>
      <c r="F15" s="35">
        <v>0</v>
      </c>
      <c r="G15" s="20">
        <v>0</v>
      </c>
      <c r="H15" s="20">
        <f t="shared" si="1"/>
        <v>1384.11</v>
      </c>
      <c r="I15" s="31" t="s">
        <v>76</v>
      </c>
      <c r="J15" s="23">
        <v>0</v>
      </c>
      <c r="K15" s="23">
        <f t="shared" si="0"/>
        <v>1384.11</v>
      </c>
    </row>
    <row r="16" spans="1:12">
      <c r="A16" s="21">
        <v>42622</v>
      </c>
      <c r="B16" s="22" t="s">
        <v>77</v>
      </c>
      <c r="C16" s="22" t="s">
        <v>78</v>
      </c>
      <c r="D16" s="33" t="s">
        <v>79</v>
      </c>
      <c r="E16" s="20">
        <v>4017.24</v>
      </c>
      <c r="F16" s="35">
        <v>0</v>
      </c>
      <c r="G16" s="20">
        <v>0</v>
      </c>
      <c r="H16" s="20">
        <f t="shared" si="1"/>
        <v>4017.24</v>
      </c>
      <c r="I16" s="31" t="s">
        <v>80</v>
      </c>
      <c r="J16" s="23">
        <v>0</v>
      </c>
      <c r="K16" s="23">
        <f t="shared" si="0"/>
        <v>4017.24</v>
      </c>
    </row>
    <row r="17" spans="1:13">
      <c r="A17" s="21">
        <v>42622</v>
      </c>
      <c r="B17" s="22" t="s">
        <v>77</v>
      </c>
      <c r="C17" s="22" t="s">
        <v>78</v>
      </c>
      <c r="D17" s="33" t="s">
        <v>79</v>
      </c>
      <c r="E17" s="35">
        <v>3438</v>
      </c>
      <c r="F17" s="35">
        <v>0</v>
      </c>
      <c r="G17" s="35">
        <v>0</v>
      </c>
      <c r="H17" s="20">
        <f t="shared" si="1"/>
        <v>3438</v>
      </c>
      <c r="I17" s="31" t="s">
        <v>81</v>
      </c>
      <c r="J17" s="23">
        <v>0</v>
      </c>
      <c r="K17" s="23">
        <f t="shared" si="0"/>
        <v>3438</v>
      </c>
    </row>
    <row r="18" spans="1:13">
      <c r="A18" s="21">
        <v>42629</v>
      </c>
      <c r="B18" s="22" t="s">
        <v>77</v>
      </c>
      <c r="C18" s="22" t="s">
        <v>78</v>
      </c>
      <c r="D18" s="33" t="s">
        <v>79</v>
      </c>
      <c r="E18" s="20">
        <v>3350</v>
      </c>
      <c r="F18" s="20">
        <v>0</v>
      </c>
      <c r="G18" s="35">
        <v>0</v>
      </c>
      <c r="H18" s="20">
        <f t="shared" si="1"/>
        <v>3350</v>
      </c>
      <c r="I18" s="31" t="s">
        <v>82</v>
      </c>
      <c r="J18" s="23">
        <v>0</v>
      </c>
      <c r="K18" s="23">
        <f t="shared" si="0"/>
        <v>3350</v>
      </c>
    </row>
    <row r="19" spans="1:13">
      <c r="A19" s="21">
        <v>42629</v>
      </c>
      <c r="B19" s="22" t="s">
        <v>77</v>
      </c>
      <c r="C19" s="22" t="s">
        <v>78</v>
      </c>
      <c r="D19" s="33" t="s">
        <v>79</v>
      </c>
      <c r="E19" s="20">
        <v>1840</v>
      </c>
      <c r="F19" s="20">
        <v>0</v>
      </c>
      <c r="G19" s="35">
        <v>220.8</v>
      </c>
      <c r="H19" s="20">
        <f t="shared" si="1"/>
        <v>2060.8000000000002</v>
      </c>
      <c r="I19" s="31" t="s">
        <v>83</v>
      </c>
      <c r="J19" s="23">
        <v>0</v>
      </c>
      <c r="K19" s="23">
        <f t="shared" si="0"/>
        <v>2060.8000000000002</v>
      </c>
    </row>
    <row r="20" spans="1:13">
      <c r="A20" s="21">
        <v>42626</v>
      </c>
      <c r="B20" s="24" t="s">
        <v>253</v>
      </c>
      <c r="C20" s="24" t="s">
        <v>84</v>
      </c>
      <c r="D20" s="33" t="s">
        <v>85</v>
      </c>
      <c r="E20" s="35">
        <v>1625</v>
      </c>
      <c r="F20" s="35">
        <v>0</v>
      </c>
      <c r="G20" s="35">
        <v>195</v>
      </c>
      <c r="H20" s="20">
        <f t="shared" si="1"/>
        <v>1820</v>
      </c>
      <c r="I20" s="31" t="s">
        <v>86</v>
      </c>
      <c r="J20" s="23">
        <v>0</v>
      </c>
      <c r="K20" s="23">
        <f t="shared" si="0"/>
        <v>1820</v>
      </c>
    </row>
    <row r="21" spans="1:13">
      <c r="A21" s="21">
        <v>42628</v>
      </c>
      <c r="B21" s="24" t="s">
        <v>87</v>
      </c>
      <c r="C21" s="24" t="s">
        <v>88</v>
      </c>
      <c r="D21" s="33" t="s">
        <v>89</v>
      </c>
      <c r="E21" s="35">
        <v>3694.08</v>
      </c>
      <c r="F21" s="35">
        <v>0</v>
      </c>
      <c r="G21" s="35">
        <v>0</v>
      </c>
      <c r="H21" s="20">
        <f t="shared" si="1"/>
        <v>3694.08</v>
      </c>
      <c r="I21" s="31" t="s">
        <v>90</v>
      </c>
      <c r="J21" s="23">
        <v>0</v>
      </c>
      <c r="K21" s="23">
        <f t="shared" si="0"/>
        <v>3694.08</v>
      </c>
      <c r="M21" s="9"/>
    </row>
    <row r="22" spans="1:13">
      <c r="A22" s="21">
        <v>42619</v>
      </c>
      <c r="B22" s="24" t="s">
        <v>91</v>
      </c>
      <c r="C22" s="24" t="s">
        <v>92</v>
      </c>
      <c r="D22" s="33" t="s">
        <v>93</v>
      </c>
      <c r="E22" s="20">
        <v>4422.62</v>
      </c>
      <c r="F22" s="20">
        <v>0</v>
      </c>
      <c r="G22" s="20">
        <v>149.84</v>
      </c>
      <c r="H22" s="20">
        <f t="shared" si="1"/>
        <v>4572.46</v>
      </c>
      <c r="I22" s="31" t="s">
        <v>94</v>
      </c>
      <c r="J22" s="23">
        <v>0</v>
      </c>
      <c r="K22" s="23">
        <f t="shared" si="0"/>
        <v>4572.46</v>
      </c>
    </row>
    <row r="23" spans="1:13">
      <c r="A23" s="21">
        <v>42619</v>
      </c>
      <c r="B23" s="24" t="s">
        <v>91</v>
      </c>
      <c r="C23" s="24" t="s">
        <v>92</v>
      </c>
      <c r="D23" s="33" t="s">
        <v>93</v>
      </c>
      <c r="E23" s="42">
        <v>2511.09</v>
      </c>
      <c r="F23" s="20">
        <v>0</v>
      </c>
      <c r="G23" s="42">
        <v>274.08</v>
      </c>
      <c r="H23" s="20">
        <f t="shared" si="1"/>
        <v>2785.17</v>
      </c>
      <c r="I23" s="31" t="s">
        <v>95</v>
      </c>
      <c r="J23" s="23">
        <v>0</v>
      </c>
      <c r="K23" s="23">
        <f t="shared" si="0"/>
        <v>2785.17</v>
      </c>
    </row>
    <row r="24" spans="1:13">
      <c r="A24" s="21">
        <v>42619</v>
      </c>
      <c r="B24" s="24" t="s">
        <v>96</v>
      </c>
      <c r="C24" s="24" t="s">
        <v>97</v>
      </c>
      <c r="D24" s="33" t="s">
        <v>98</v>
      </c>
      <c r="E24" s="20">
        <v>3425.68</v>
      </c>
      <c r="F24" s="20">
        <v>0</v>
      </c>
      <c r="G24" s="20">
        <v>411.08</v>
      </c>
      <c r="H24" s="20">
        <f t="shared" si="1"/>
        <v>3836.7599999999998</v>
      </c>
      <c r="I24" s="31" t="s">
        <v>99</v>
      </c>
      <c r="J24" s="23">
        <v>0</v>
      </c>
      <c r="K24" s="23">
        <f t="shared" si="0"/>
        <v>3836.7599999999998</v>
      </c>
    </row>
    <row r="25" spans="1:13">
      <c r="A25" s="21">
        <v>42619</v>
      </c>
      <c r="B25" s="24" t="s">
        <v>96</v>
      </c>
      <c r="C25" s="24" t="s">
        <v>97</v>
      </c>
      <c r="D25" s="33" t="s">
        <v>98</v>
      </c>
      <c r="E25" s="20">
        <v>3216</v>
      </c>
      <c r="F25" s="20">
        <v>0</v>
      </c>
      <c r="G25" s="20">
        <v>0</v>
      </c>
      <c r="H25" s="20">
        <f t="shared" si="1"/>
        <v>3216</v>
      </c>
      <c r="I25" s="31" t="s">
        <v>100</v>
      </c>
      <c r="J25" s="23">
        <v>0</v>
      </c>
      <c r="K25" s="23">
        <f t="shared" si="0"/>
        <v>3216</v>
      </c>
    </row>
    <row r="26" spans="1:13">
      <c r="A26" s="21">
        <v>42619</v>
      </c>
      <c r="B26" s="24" t="s">
        <v>22</v>
      </c>
      <c r="C26" s="24" t="s">
        <v>23</v>
      </c>
      <c r="D26" s="33" t="s">
        <v>20</v>
      </c>
      <c r="E26" s="20">
        <v>1390.35</v>
      </c>
      <c r="F26" s="20">
        <v>0</v>
      </c>
      <c r="G26" s="20">
        <v>0</v>
      </c>
      <c r="H26" s="20">
        <f t="shared" si="1"/>
        <v>1390.35</v>
      </c>
      <c r="I26" s="31" t="s">
        <v>101</v>
      </c>
      <c r="J26" s="23">
        <v>0</v>
      </c>
      <c r="K26" s="23">
        <f t="shared" si="0"/>
        <v>1390.35</v>
      </c>
      <c r="M26" s="9"/>
    </row>
    <row r="27" spans="1:13">
      <c r="A27" s="21">
        <v>42619</v>
      </c>
      <c r="B27" s="24" t="s">
        <v>22</v>
      </c>
      <c r="C27" s="24" t="s">
        <v>23</v>
      </c>
      <c r="D27" s="33" t="s">
        <v>20</v>
      </c>
      <c r="E27" s="20">
        <v>1564.07</v>
      </c>
      <c r="F27" s="20">
        <v>0</v>
      </c>
      <c r="G27" s="46">
        <v>0</v>
      </c>
      <c r="H27" s="20">
        <f t="shared" si="1"/>
        <v>1564.07</v>
      </c>
      <c r="I27" s="31" t="s">
        <v>102</v>
      </c>
      <c r="J27" s="23">
        <v>0</v>
      </c>
      <c r="K27" s="23">
        <f t="shared" si="0"/>
        <v>1564.07</v>
      </c>
    </row>
    <row r="28" spans="1:13">
      <c r="A28" s="21">
        <v>42618</v>
      </c>
      <c r="B28" s="24" t="s">
        <v>103</v>
      </c>
      <c r="C28" s="24" t="s">
        <v>104</v>
      </c>
      <c r="D28" s="33" t="s">
        <v>105</v>
      </c>
      <c r="E28" s="20">
        <v>3769.14</v>
      </c>
      <c r="F28" s="20">
        <v>0</v>
      </c>
      <c r="G28" s="46">
        <v>0</v>
      </c>
      <c r="H28" s="20">
        <f t="shared" si="1"/>
        <v>3769.14</v>
      </c>
      <c r="I28" s="31" t="s">
        <v>106</v>
      </c>
      <c r="J28" s="23">
        <v>0</v>
      </c>
      <c r="K28" s="23">
        <f t="shared" si="0"/>
        <v>3769.14</v>
      </c>
    </row>
    <row r="29" spans="1:13">
      <c r="A29" s="21">
        <v>42625</v>
      </c>
      <c r="B29" s="24" t="s">
        <v>107</v>
      </c>
      <c r="C29" s="24" t="s">
        <v>108</v>
      </c>
      <c r="D29" s="33" t="s">
        <v>109</v>
      </c>
      <c r="E29" s="20">
        <v>2975.73</v>
      </c>
      <c r="F29" s="20">
        <v>0</v>
      </c>
      <c r="G29" s="20">
        <v>42.85</v>
      </c>
      <c r="H29" s="20">
        <f t="shared" si="1"/>
        <v>3018.58</v>
      </c>
      <c r="I29" s="31" t="s">
        <v>110</v>
      </c>
      <c r="J29" s="23">
        <v>0</v>
      </c>
      <c r="K29" s="23">
        <f t="shared" si="0"/>
        <v>3018.58</v>
      </c>
    </row>
    <row r="30" spans="1:13">
      <c r="A30" s="21">
        <v>42626</v>
      </c>
      <c r="B30" s="24" t="s">
        <v>107</v>
      </c>
      <c r="C30" s="24" t="s">
        <v>108</v>
      </c>
      <c r="D30" s="33" t="s">
        <v>109</v>
      </c>
      <c r="E30" s="20">
        <v>1641.31</v>
      </c>
      <c r="F30" s="20">
        <v>0</v>
      </c>
      <c r="G30" s="20">
        <v>47.54</v>
      </c>
      <c r="H30" s="20">
        <f t="shared" si="1"/>
        <v>1688.85</v>
      </c>
      <c r="I30" s="31" t="s">
        <v>114</v>
      </c>
      <c r="J30" s="23">
        <v>0</v>
      </c>
      <c r="K30" s="23">
        <f t="shared" si="0"/>
        <v>1688.85</v>
      </c>
    </row>
    <row r="31" spans="1:13">
      <c r="A31" s="21">
        <v>42626</v>
      </c>
      <c r="B31" s="24" t="s">
        <v>107</v>
      </c>
      <c r="C31" s="24" t="s">
        <v>108</v>
      </c>
      <c r="D31" s="33" t="s">
        <v>109</v>
      </c>
      <c r="E31" s="20">
        <v>4332.8500000000004</v>
      </c>
      <c r="F31" s="20">
        <v>0</v>
      </c>
      <c r="G31" s="20">
        <v>0</v>
      </c>
      <c r="H31" s="20">
        <f t="shared" si="1"/>
        <v>4332.8500000000004</v>
      </c>
      <c r="I31" s="31" t="s">
        <v>115</v>
      </c>
      <c r="J31" s="23">
        <v>0</v>
      </c>
      <c r="K31" s="23">
        <f t="shared" si="0"/>
        <v>4332.8500000000004</v>
      </c>
    </row>
    <row r="32" spans="1:13">
      <c r="A32" s="21">
        <v>42620</v>
      </c>
      <c r="B32" s="24" t="s">
        <v>111</v>
      </c>
      <c r="C32" s="24" t="s">
        <v>112</v>
      </c>
      <c r="D32" s="33" t="s">
        <v>113</v>
      </c>
      <c r="E32" s="20">
        <v>1055.43</v>
      </c>
      <c r="F32" s="35">
        <v>0</v>
      </c>
      <c r="G32" s="20">
        <v>0</v>
      </c>
      <c r="H32" s="20">
        <f t="shared" si="1"/>
        <v>1055.43</v>
      </c>
      <c r="I32" s="31" t="s">
        <v>116</v>
      </c>
      <c r="J32" s="23">
        <v>0</v>
      </c>
      <c r="K32" s="23">
        <f t="shared" si="0"/>
        <v>1055.43</v>
      </c>
    </row>
    <row r="33" spans="1:11">
      <c r="A33" s="21">
        <v>42626</v>
      </c>
      <c r="B33" s="24" t="s">
        <v>24</v>
      </c>
      <c r="C33" s="24" t="s">
        <v>25</v>
      </c>
      <c r="D33" s="33" t="s">
        <v>21</v>
      </c>
      <c r="E33" s="34">
        <v>1049.9100000000001</v>
      </c>
      <c r="F33" s="35">
        <v>0</v>
      </c>
      <c r="G33" s="20">
        <v>0</v>
      </c>
      <c r="H33" s="20">
        <f t="shared" si="1"/>
        <v>1049.9100000000001</v>
      </c>
      <c r="I33" s="31" t="s">
        <v>117</v>
      </c>
      <c r="J33" s="23">
        <v>0</v>
      </c>
      <c r="K33" s="23">
        <f t="shared" si="0"/>
        <v>1049.9100000000001</v>
      </c>
    </row>
    <row r="34" spans="1:11">
      <c r="A34" s="21">
        <v>42626</v>
      </c>
      <c r="B34" s="24" t="s">
        <v>24</v>
      </c>
      <c r="C34" s="24" t="s">
        <v>25</v>
      </c>
      <c r="D34" s="33" t="s">
        <v>21</v>
      </c>
      <c r="E34" s="34">
        <v>488.75</v>
      </c>
      <c r="F34" s="35">
        <v>0</v>
      </c>
      <c r="G34" s="20">
        <v>0</v>
      </c>
      <c r="H34" s="20">
        <f t="shared" si="1"/>
        <v>488.75</v>
      </c>
      <c r="I34" s="31" t="s">
        <v>118</v>
      </c>
      <c r="J34" s="23">
        <v>0</v>
      </c>
      <c r="K34" s="23">
        <f t="shared" si="0"/>
        <v>488.75</v>
      </c>
    </row>
    <row r="35" spans="1:11">
      <c r="A35" s="21">
        <v>42629</v>
      </c>
      <c r="B35" s="24" t="s">
        <v>119</v>
      </c>
      <c r="C35" s="24" t="s">
        <v>120</v>
      </c>
      <c r="D35" s="33" t="s">
        <v>121</v>
      </c>
      <c r="E35" s="34">
        <v>5587.68</v>
      </c>
      <c r="F35" s="35">
        <v>0</v>
      </c>
      <c r="G35" s="35">
        <v>0</v>
      </c>
      <c r="H35" s="20">
        <f t="shared" si="1"/>
        <v>5587.68</v>
      </c>
      <c r="I35" s="31" t="s">
        <v>122</v>
      </c>
      <c r="J35" s="23">
        <v>0</v>
      </c>
      <c r="K35" s="23">
        <f t="shared" si="0"/>
        <v>5587.68</v>
      </c>
    </row>
    <row r="36" spans="1:11">
      <c r="A36" s="21">
        <v>42615</v>
      </c>
      <c r="B36" s="24" t="s">
        <v>119</v>
      </c>
      <c r="C36" s="24" t="s">
        <v>120</v>
      </c>
      <c r="D36" s="33" t="s">
        <v>121</v>
      </c>
      <c r="E36" s="34">
        <v>1055.43</v>
      </c>
      <c r="F36" s="35">
        <v>0</v>
      </c>
      <c r="G36" s="35">
        <v>0</v>
      </c>
      <c r="H36" s="20">
        <f t="shared" si="1"/>
        <v>1055.43</v>
      </c>
      <c r="I36" s="31" t="s">
        <v>123</v>
      </c>
      <c r="J36" s="23">
        <v>0</v>
      </c>
      <c r="K36" s="23">
        <f t="shared" si="0"/>
        <v>1055.43</v>
      </c>
    </row>
    <row r="37" spans="1:11">
      <c r="A37" s="21">
        <v>42618</v>
      </c>
      <c r="B37" s="24" t="s">
        <v>119</v>
      </c>
      <c r="C37" s="24" t="s">
        <v>120</v>
      </c>
      <c r="D37" s="33" t="s">
        <v>121</v>
      </c>
      <c r="E37" s="34">
        <v>3041.92</v>
      </c>
      <c r="F37" s="20">
        <v>0</v>
      </c>
      <c r="G37" s="20">
        <v>0</v>
      </c>
      <c r="H37" s="20">
        <f t="shared" si="1"/>
        <v>3041.92</v>
      </c>
      <c r="I37" s="31" t="s">
        <v>124</v>
      </c>
      <c r="J37" s="23">
        <v>0</v>
      </c>
      <c r="K37" s="23">
        <f t="shared" si="0"/>
        <v>3041.92</v>
      </c>
    </row>
    <row r="38" spans="1:11">
      <c r="A38" s="21">
        <v>42621</v>
      </c>
      <c r="B38" s="24" t="s">
        <v>125</v>
      </c>
      <c r="C38" s="24" t="s">
        <v>126</v>
      </c>
      <c r="D38" s="33" t="s">
        <v>127</v>
      </c>
      <c r="E38" s="34">
        <v>1604.64</v>
      </c>
      <c r="F38" s="20">
        <v>0</v>
      </c>
      <c r="G38" s="20">
        <v>0</v>
      </c>
      <c r="H38" s="20">
        <f t="shared" si="1"/>
        <v>1604.64</v>
      </c>
      <c r="I38" s="31" t="s">
        <v>128</v>
      </c>
      <c r="J38" s="23">
        <v>0</v>
      </c>
      <c r="K38" s="23">
        <f t="shared" si="0"/>
        <v>1604.64</v>
      </c>
    </row>
    <row r="39" spans="1:11">
      <c r="A39" s="21">
        <v>42629</v>
      </c>
      <c r="B39" s="24" t="s">
        <v>129</v>
      </c>
      <c r="C39" s="24" t="s">
        <v>130</v>
      </c>
      <c r="D39" s="33" t="s">
        <v>131</v>
      </c>
      <c r="E39" s="34">
        <v>1949.97</v>
      </c>
      <c r="F39" s="20">
        <v>0</v>
      </c>
      <c r="G39" s="20">
        <v>0</v>
      </c>
      <c r="H39" s="20">
        <f t="shared" si="1"/>
        <v>1949.97</v>
      </c>
      <c r="I39" s="31" t="s">
        <v>130</v>
      </c>
      <c r="J39" s="23">
        <v>0</v>
      </c>
      <c r="K39" s="23">
        <f t="shared" si="0"/>
        <v>1949.97</v>
      </c>
    </row>
    <row r="40" spans="1:11">
      <c r="A40" s="21">
        <v>42622</v>
      </c>
      <c r="B40" s="24" t="s">
        <v>254</v>
      </c>
      <c r="C40" s="24" t="s">
        <v>26</v>
      </c>
      <c r="D40" s="33" t="s">
        <v>19</v>
      </c>
      <c r="E40" s="34">
        <v>8835.8700000000008</v>
      </c>
      <c r="F40" s="20">
        <v>0</v>
      </c>
      <c r="G40" s="20">
        <v>0</v>
      </c>
      <c r="H40" s="20">
        <f t="shared" si="1"/>
        <v>8835.8700000000008</v>
      </c>
      <c r="I40" s="31" t="s">
        <v>132</v>
      </c>
      <c r="J40" s="23">
        <v>0</v>
      </c>
      <c r="K40" s="23">
        <f t="shared" si="0"/>
        <v>8835.8700000000008</v>
      </c>
    </row>
    <row r="41" spans="1:11">
      <c r="A41" s="21">
        <v>42622</v>
      </c>
      <c r="B41" s="24" t="s">
        <v>255</v>
      </c>
      <c r="C41" s="24" t="s">
        <v>31</v>
      </c>
      <c r="D41" s="33" t="s">
        <v>133</v>
      </c>
      <c r="E41" s="34">
        <v>3059.89</v>
      </c>
      <c r="F41" s="20">
        <v>0</v>
      </c>
      <c r="G41" s="20">
        <v>169.58</v>
      </c>
      <c r="H41" s="20">
        <f t="shared" si="1"/>
        <v>3229.47</v>
      </c>
      <c r="I41" s="31" t="s">
        <v>134</v>
      </c>
      <c r="J41" s="23">
        <v>0</v>
      </c>
      <c r="K41" s="23">
        <f t="shared" si="0"/>
        <v>3229.47</v>
      </c>
    </row>
    <row r="42" spans="1:11">
      <c r="A42" s="21">
        <v>42621</v>
      </c>
      <c r="B42" s="45" t="s">
        <v>135</v>
      </c>
      <c r="C42" s="24" t="s">
        <v>136</v>
      </c>
      <c r="D42" s="25" t="s">
        <v>137</v>
      </c>
      <c r="E42" s="32">
        <v>1283.52</v>
      </c>
      <c r="F42" s="20">
        <v>0</v>
      </c>
      <c r="G42" s="20">
        <v>0</v>
      </c>
      <c r="H42" s="20">
        <f t="shared" si="1"/>
        <v>1283.52</v>
      </c>
      <c r="I42" s="31" t="s">
        <v>138</v>
      </c>
      <c r="J42" s="23">
        <v>0</v>
      </c>
      <c r="K42" s="23">
        <f t="shared" si="0"/>
        <v>1283.52</v>
      </c>
    </row>
    <row r="43" spans="1:11">
      <c r="A43" s="21">
        <v>42618</v>
      </c>
      <c r="B43" s="45" t="s">
        <v>139</v>
      </c>
      <c r="C43" s="24" t="s">
        <v>140</v>
      </c>
      <c r="D43" s="25" t="s">
        <v>141</v>
      </c>
      <c r="E43" s="20">
        <v>425</v>
      </c>
      <c r="F43" s="20">
        <v>0</v>
      </c>
      <c r="G43" s="20">
        <v>0</v>
      </c>
      <c r="H43" s="20">
        <f t="shared" si="1"/>
        <v>425</v>
      </c>
      <c r="I43" s="31" t="s">
        <v>142</v>
      </c>
      <c r="J43" s="23">
        <v>0</v>
      </c>
      <c r="K43" s="23">
        <f t="shared" si="0"/>
        <v>425</v>
      </c>
    </row>
    <row r="44" spans="1:11">
      <c r="A44" s="21">
        <v>42618</v>
      </c>
      <c r="B44" s="45" t="s">
        <v>139</v>
      </c>
      <c r="C44" s="24" t="s">
        <v>140</v>
      </c>
      <c r="D44" s="25" t="s">
        <v>141</v>
      </c>
      <c r="E44" s="20">
        <v>425.5</v>
      </c>
      <c r="F44" s="20">
        <v>0</v>
      </c>
      <c r="G44" s="20">
        <v>0</v>
      </c>
      <c r="H44" s="20">
        <f t="shared" si="1"/>
        <v>425.5</v>
      </c>
      <c r="I44" s="31" t="s">
        <v>144</v>
      </c>
      <c r="J44" s="23">
        <v>0</v>
      </c>
      <c r="K44" s="23">
        <f t="shared" si="0"/>
        <v>425.5</v>
      </c>
    </row>
    <row r="45" spans="1:11">
      <c r="A45" s="21">
        <v>42620</v>
      </c>
      <c r="B45" s="45" t="s">
        <v>139</v>
      </c>
      <c r="C45" s="24" t="s">
        <v>140</v>
      </c>
      <c r="D45" s="25" t="s">
        <v>141</v>
      </c>
      <c r="E45" s="20">
        <v>3868.04</v>
      </c>
      <c r="F45" s="20">
        <v>0</v>
      </c>
      <c r="G45" s="20">
        <v>135.49</v>
      </c>
      <c r="H45" s="20">
        <f t="shared" si="1"/>
        <v>4003.5299999999997</v>
      </c>
      <c r="I45" s="31" t="s">
        <v>143</v>
      </c>
      <c r="J45" s="23">
        <v>0</v>
      </c>
      <c r="K45" s="23">
        <f t="shared" si="0"/>
        <v>4003.5299999999997</v>
      </c>
    </row>
    <row r="46" spans="1:11">
      <c r="A46" s="21">
        <v>42615</v>
      </c>
      <c r="B46" s="24" t="s">
        <v>34</v>
      </c>
      <c r="C46" s="24" t="s">
        <v>35</v>
      </c>
      <c r="D46" s="33" t="s">
        <v>36</v>
      </c>
      <c r="E46" s="20">
        <v>7469.75</v>
      </c>
      <c r="F46" s="20">
        <v>0</v>
      </c>
      <c r="G46" s="20">
        <v>895.37</v>
      </c>
      <c r="H46" s="20">
        <f t="shared" si="1"/>
        <v>8365.1200000000008</v>
      </c>
      <c r="I46" s="31" t="s">
        <v>145</v>
      </c>
      <c r="J46" s="23">
        <v>0</v>
      </c>
      <c r="K46" s="23">
        <f t="shared" si="0"/>
        <v>8365.1200000000008</v>
      </c>
    </row>
    <row r="47" spans="1:11">
      <c r="A47" s="21">
        <v>42615</v>
      </c>
      <c r="B47" s="24" t="s">
        <v>34</v>
      </c>
      <c r="C47" s="24" t="s">
        <v>35</v>
      </c>
      <c r="D47" s="33" t="s">
        <v>36</v>
      </c>
      <c r="E47" s="20">
        <v>2926.71</v>
      </c>
      <c r="F47" s="20">
        <v>0</v>
      </c>
      <c r="G47" s="20">
        <v>0</v>
      </c>
      <c r="H47" s="20">
        <f t="shared" si="1"/>
        <v>2926.71</v>
      </c>
      <c r="I47" s="31" t="s">
        <v>146</v>
      </c>
      <c r="J47" s="23">
        <v>0</v>
      </c>
      <c r="K47" s="23">
        <f t="shared" si="0"/>
        <v>2926.71</v>
      </c>
    </row>
    <row r="48" spans="1:11">
      <c r="A48" s="21">
        <v>42614</v>
      </c>
      <c r="B48" s="24" t="s">
        <v>256</v>
      </c>
      <c r="C48" s="24" t="s">
        <v>32</v>
      </c>
      <c r="D48" s="33" t="s">
        <v>33</v>
      </c>
      <c r="E48" s="20">
        <v>3479.91</v>
      </c>
      <c r="F48" s="20">
        <v>0</v>
      </c>
      <c r="G48" s="20">
        <v>0</v>
      </c>
      <c r="H48" s="20">
        <f t="shared" si="1"/>
        <v>3479.91</v>
      </c>
      <c r="I48" s="31" t="s">
        <v>147</v>
      </c>
      <c r="J48" s="23">
        <v>0</v>
      </c>
      <c r="K48" s="23">
        <f t="shared" si="0"/>
        <v>3479.91</v>
      </c>
    </row>
    <row r="49" spans="1:11">
      <c r="A49" s="21">
        <v>42614</v>
      </c>
      <c r="B49" s="24" t="s">
        <v>256</v>
      </c>
      <c r="C49" s="24" t="s">
        <v>32</v>
      </c>
      <c r="D49" s="33" t="s">
        <v>33</v>
      </c>
      <c r="E49" s="20">
        <v>2388.5300000000002</v>
      </c>
      <c r="F49" s="20">
        <v>0</v>
      </c>
      <c r="G49" s="20">
        <v>144.35</v>
      </c>
      <c r="H49" s="20">
        <f t="shared" si="1"/>
        <v>2532.88</v>
      </c>
      <c r="I49" s="31" t="s">
        <v>148</v>
      </c>
      <c r="J49" s="23">
        <v>0</v>
      </c>
      <c r="K49" s="23">
        <f t="shared" si="0"/>
        <v>2532.88</v>
      </c>
    </row>
    <row r="50" spans="1:11">
      <c r="A50" s="21">
        <v>42615</v>
      </c>
      <c r="B50" s="24" t="s">
        <v>257</v>
      </c>
      <c r="C50" s="24" t="s">
        <v>29</v>
      </c>
      <c r="D50" s="33" t="s">
        <v>30</v>
      </c>
      <c r="E50" s="20">
        <v>579.97</v>
      </c>
      <c r="F50" s="20">
        <v>0</v>
      </c>
      <c r="G50" s="20">
        <v>0</v>
      </c>
      <c r="H50" s="20">
        <f t="shared" si="1"/>
        <v>579.97</v>
      </c>
      <c r="I50" s="31" t="s">
        <v>149</v>
      </c>
      <c r="J50" s="23">
        <v>0</v>
      </c>
      <c r="K50" s="23">
        <f t="shared" si="0"/>
        <v>579.97</v>
      </c>
    </row>
    <row r="51" spans="1:11">
      <c r="A51" s="21">
        <v>42619</v>
      </c>
      <c r="B51" s="24" t="s">
        <v>151</v>
      </c>
      <c r="C51" s="24" t="s">
        <v>152</v>
      </c>
      <c r="D51" s="33" t="s">
        <v>153</v>
      </c>
      <c r="E51" s="20">
        <v>616.64</v>
      </c>
      <c r="F51" s="20">
        <v>0</v>
      </c>
      <c r="G51" s="20">
        <v>0</v>
      </c>
      <c r="H51" s="20">
        <f t="shared" si="1"/>
        <v>616.64</v>
      </c>
      <c r="I51" s="31" t="s">
        <v>154</v>
      </c>
      <c r="J51" s="23">
        <v>0</v>
      </c>
      <c r="K51" s="23">
        <f t="shared" si="0"/>
        <v>616.64</v>
      </c>
    </row>
    <row r="52" spans="1:11">
      <c r="A52" s="21">
        <v>42616</v>
      </c>
      <c r="B52" s="24" t="s">
        <v>155</v>
      </c>
      <c r="C52" s="24" t="s">
        <v>156</v>
      </c>
      <c r="D52" s="33" t="s">
        <v>157</v>
      </c>
      <c r="E52" s="20">
        <v>974.87</v>
      </c>
      <c r="F52" s="20">
        <v>0</v>
      </c>
      <c r="G52" s="20">
        <v>32.14</v>
      </c>
      <c r="H52" s="20">
        <f t="shared" si="1"/>
        <v>1007.01</v>
      </c>
      <c r="I52" s="31" t="s">
        <v>158</v>
      </c>
      <c r="J52" s="23">
        <v>0</v>
      </c>
      <c r="K52" s="23">
        <f t="shared" si="0"/>
        <v>1007.01</v>
      </c>
    </row>
    <row r="53" spans="1:11">
      <c r="A53" s="21">
        <v>42619</v>
      </c>
      <c r="B53" s="24" t="s">
        <v>155</v>
      </c>
      <c r="C53" s="24" t="s">
        <v>156</v>
      </c>
      <c r="D53" s="33" t="s">
        <v>157</v>
      </c>
      <c r="E53" s="20">
        <v>2471.6799999999998</v>
      </c>
      <c r="F53" s="20">
        <v>0</v>
      </c>
      <c r="G53" s="20">
        <v>142.93</v>
      </c>
      <c r="H53" s="20">
        <f t="shared" si="1"/>
        <v>2614.6099999999997</v>
      </c>
      <c r="I53" s="31" t="s">
        <v>159</v>
      </c>
      <c r="J53" s="23">
        <v>0</v>
      </c>
      <c r="K53" s="23">
        <f t="shared" si="0"/>
        <v>2614.6099999999997</v>
      </c>
    </row>
    <row r="54" spans="1:11">
      <c r="A54" s="21">
        <v>42618</v>
      </c>
      <c r="B54" s="24" t="s">
        <v>37</v>
      </c>
      <c r="C54" s="24" t="s">
        <v>38</v>
      </c>
      <c r="D54" s="33" t="s">
        <v>39</v>
      </c>
      <c r="E54" s="20">
        <v>5559.86</v>
      </c>
      <c r="F54" s="20">
        <v>0</v>
      </c>
      <c r="G54" s="20">
        <v>482.14</v>
      </c>
      <c r="H54" s="20">
        <f t="shared" si="1"/>
        <v>6042</v>
      </c>
      <c r="I54" s="31" t="s">
        <v>160</v>
      </c>
      <c r="J54" s="23">
        <v>0</v>
      </c>
      <c r="K54" s="23">
        <f t="shared" si="0"/>
        <v>6042</v>
      </c>
    </row>
    <row r="55" spans="1:11">
      <c r="A55" s="21">
        <v>42630</v>
      </c>
      <c r="B55" s="24" t="s">
        <v>258</v>
      </c>
      <c r="C55" s="24" t="s">
        <v>150</v>
      </c>
      <c r="D55" s="33" t="s">
        <v>161</v>
      </c>
      <c r="E55" s="20">
        <v>1500</v>
      </c>
      <c r="F55" s="20">
        <v>0</v>
      </c>
      <c r="G55" s="20">
        <v>180</v>
      </c>
      <c r="H55" s="20">
        <f t="shared" si="1"/>
        <v>1680</v>
      </c>
      <c r="I55" s="31" t="s">
        <v>162</v>
      </c>
      <c r="J55" s="23">
        <v>0</v>
      </c>
      <c r="K55" s="23">
        <f t="shared" si="0"/>
        <v>1680</v>
      </c>
    </row>
    <row r="56" spans="1:11">
      <c r="A56" s="21">
        <v>42620</v>
      </c>
      <c r="B56" s="24" t="s">
        <v>259</v>
      </c>
      <c r="C56" s="24" t="s">
        <v>42</v>
      </c>
      <c r="D56" s="33" t="s">
        <v>43</v>
      </c>
      <c r="E56" s="20">
        <v>1522.38</v>
      </c>
      <c r="F56" s="20">
        <v>0</v>
      </c>
      <c r="G56" s="20">
        <v>36.99</v>
      </c>
      <c r="H56" s="20">
        <f t="shared" si="1"/>
        <v>1559.3700000000001</v>
      </c>
      <c r="I56" s="31" t="s">
        <v>163</v>
      </c>
      <c r="J56" s="23">
        <v>0</v>
      </c>
      <c r="K56" s="23">
        <f t="shared" si="0"/>
        <v>1559.3700000000001</v>
      </c>
    </row>
    <row r="57" spans="1:11">
      <c r="A57" s="21">
        <v>42615</v>
      </c>
      <c r="B57" s="24" t="s">
        <v>260</v>
      </c>
      <c r="C57" s="24" t="s">
        <v>40</v>
      </c>
      <c r="D57" s="33" t="s">
        <v>41</v>
      </c>
      <c r="E57" s="20">
        <v>1500.02</v>
      </c>
      <c r="F57" s="20">
        <v>0</v>
      </c>
      <c r="G57" s="20">
        <v>0</v>
      </c>
      <c r="H57" s="20">
        <f t="shared" si="1"/>
        <v>1500.02</v>
      </c>
      <c r="I57" s="31" t="s">
        <v>164</v>
      </c>
      <c r="J57" s="23">
        <v>0</v>
      </c>
      <c r="K57" s="23">
        <f t="shared" si="0"/>
        <v>1500.02</v>
      </c>
    </row>
    <row r="58" spans="1:11">
      <c r="A58" s="21">
        <v>42621</v>
      </c>
      <c r="B58" s="24" t="s">
        <v>261</v>
      </c>
      <c r="C58" s="24" t="s">
        <v>58</v>
      </c>
      <c r="D58" s="33" t="s">
        <v>59</v>
      </c>
      <c r="E58" s="20">
        <v>1424.57</v>
      </c>
      <c r="F58" s="20">
        <v>0</v>
      </c>
      <c r="G58" s="20">
        <v>71.510000000000005</v>
      </c>
      <c r="H58" s="20">
        <f t="shared" si="1"/>
        <v>1496.08</v>
      </c>
      <c r="I58" s="31" t="s">
        <v>165</v>
      </c>
      <c r="J58" s="23">
        <v>0</v>
      </c>
      <c r="K58" s="23">
        <f t="shared" si="0"/>
        <v>1496.08</v>
      </c>
    </row>
    <row r="59" spans="1:11">
      <c r="A59" s="21">
        <v>42621</v>
      </c>
      <c r="B59" s="24" t="s">
        <v>261</v>
      </c>
      <c r="C59" s="24" t="s">
        <v>58</v>
      </c>
      <c r="D59" s="33" t="s">
        <v>59</v>
      </c>
      <c r="E59" s="20">
        <v>413</v>
      </c>
      <c r="F59" s="20">
        <v>0</v>
      </c>
      <c r="G59" s="20">
        <v>0</v>
      </c>
      <c r="H59" s="20">
        <f t="shared" si="1"/>
        <v>413</v>
      </c>
      <c r="I59" s="31" t="s">
        <v>166</v>
      </c>
      <c r="J59" s="23">
        <v>0</v>
      </c>
      <c r="K59" s="23">
        <f t="shared" si="0"/>
        <v>413</v>
      </c>
    </row>
    <row r="60" spans="1:11">
      <c r="A60" s="21">
        <v>42628</v>
      </c>
      <c r="B60" s="24" t="s">
        <v>261</v>
      </c>
      <c r="C60" s="24" t="s">
        <v>58</v>
      </c>
      <c r="D60" s="33" t="s">
        <v>59</v>
      </c>
      <c r="E60" s="20">
        <v>595.92999999999995</v>
      </c>
      <c r="F60" s="20">
        <v>0</v>
      </c>
      <c r="G60" s="20">
        <v>71.510000000000005</v>
      </c>
      <c r="H60" s="20">
        <f t="shared" si="1"/>
        <v>667.43999999999994</v>
      </c>
      <c r="I60" s="31" t="s">
        <v>167</v>
      </c>
      <c r="J60" s="23">
        <v>0</v>
      </c>
      <c r="K60" s="23">
        <f t="shared" si="0"/>
        <v>667.43999999999994</v>
      </c>
    </row>
    <row r="61" spans="1:11">
      <c r="A61" s="21">
        <v>42628</v>
      </c>
      <c r="B61" s="24" t="s">
        <v>262</v>
      </c>
      <c r="C61" s="24" t="s">
        <v>168</v>
      </c>
      <c r="D61" s="33" t="s">
        <v>169</v>
      </c>
      <c r="E61" s="20">
        <v>7852.28</v>
      </c>
      <c r="F61" s="20">
        <v>0</v>
      </c>
      <c r="G61" s="20">
        <v>261.08</v>
      </c>
      <c r="H61" s="20">
        <f t="shared" si="1"/>
        <v>8113.36</v>
      </c>
      <c r="I61" s="31" t="s">
        <v>170</v>
      </c>
      <c r="J61" s="23">
        <v>0</v>
      </c>
      <c r="K61" s="23">
        <f t="shared" si="0"/>
        <v>8113.36</v>
      </c>
    </row>
    <row r="62" spans="1:11">
      <c r="A62" s="21">
        <v>42628</v>
      </c>
      <c r="B62" s="24" t="s">
        <v>262</v>
      </c>
      <c r="C62" s="24" t="s">
        <v>168</v>
      </c>
      <c r="D62" s="33" t="s">
        <v>169</v>
      </c>
      <c r="E62" s="20">
        <v>5000.99</v>
      </c>
      <c r="F62" s="20">
        <v>0</v>
      </c>
      <c r="G62" s="20">
        <v>0</v>
      </c>
      <c r="H62" s="20">
        <f t="shared" si="1"/>
        <v>5000.99</v>
      </c>
      <c r="I62" s="31" t="s">
        <v>171</v>
      </c>
      <c r="J62" s="23">
        <v>0</v>
      </c>
      <c r="K62" s="23">
        <f t="shared" si="0"/>
        <v>5000.99</v>
      </c>
    </row>
    <row r="63" spans="1:11">
      <c r="A63" s="21">
        <v>42623</v>
      </c>
      <c r="B63" s="24" t="s">
        <v>263</v>
      </c>
      <c r="C63" s="24" t="s">
        <v>66</v>
      </c>
      <c r="D63" s="33" t="s">
        <v>172</v>
      </c>
      <c r="E63" s="20">
        <v>3642.8</v>
      </c>
      <c r="F63" s="20">
        <v>0</v>
      </c>
      <c r="G63" s="20">
        <v>0</v>
      </c>
      <c r="H63" s="20">
        <f t="shared" si="1"/>
        <v>3642.8</v>
      </c>
      <c r="I63" s="31" t="s">
        <v>173</v>
      </c>
      <c r="J63" s="23">
        <v>0</v>
      </c>
      <c r="K63" s="23">
        <f t="shared" si="0"/>
        <v>3642.8</v>
      </c>
    </row>
    <row r="64" spans="1:11">
      <c r="A64" s="21">
        <v>42622</v>
      </c>
      <c r="B64" s="24" t="s">
        <v>174</v>
      </c>
      <c r="C64" s="24" t="s">
        <v>175</v>
      </c>
      <c r="D64" s="33" t="s">
        <v>176</v>
      </c>
      <c r="E64" s="20">
        <v>5345.01</v>
      </c>
      <c r="F64" s="20">
        <v>0</v>
      </c>
      <c r="G64" s="20">
        <v>169.58</v>
      </c>
      <c r="H64" s="20">
        <f t="shared" si="1"/>
        <v>5514.59</v>
      </c>
      <c r="I64" s="31" t="s">
        <v>177</v>
      </c>
      <c r="J64" s="23">
        <v>0</v>
      </c>
      <c r="K64" s="23">
        <f t="shared" si="0"/>
        <v>5514.59</v>
      </c>
    </row>
    <row r="65" spans="1:11">
      <c r="A65" s="21">
        <v>42625</v>
      </c>
      <c r="B65" s="24" t="s">
        <v>44</v>
      </c>
      <c r="C65" s="24" t="s">
        <v>45</v>
      </c>
      <c r="D65" s="33" t="s">
        <v>46</v>
      </c>
      <c r="E65" s="20">
        <v>3981.69</v>
      </c>
      <c r="F65" s="20">
        <v>0</v>
      </c>
      <c r="G65" s="20">
        <v>0</v>
      </c>
      <c r="H65" s="20">
        <f t="shared" si="1"/>
        <v>3981.69</v>
      </c>
      <c r="I65" s="31" t="s">
        <v>178</v>
      </c>
      <c r="J65" s="23">
        <v>0</v>
      </c>
      <c r="K65" s="23">
        <f t="shared" si="0"/>
        <v>3981.69</v>
      </c>
    </row>
    <row r="66" spans="1:11">
      <c r="A66" s="21">
        <v>42628</v>
      </c>
      <c r="B66" s="24" t="s">
        <v>179</v>
      </c>
      <c r="C66" s="24" t="s">
        <v>180</v>
      </c>
      <c r="D66" s="33" t="s">
        <v>181</v>
      </c>
      <c r="E66" s="20">
        <v>3634.85</v>
      </c>
      <c r="F66" s="20">
        <v>0</v>
      </c>
      <c r="G66" s="20">
        <v>0</v>
      </c>
      <c r="H66" s="20">
        <f t="shared" si="1"/>
        <v>3634.85</v>
      </c>
      <c r="I66" s="31" t="s">
        <v>182</v>
      </c>
      <c r="J66" s="23">
        <v>0</v>
      </c>
      <c r="K66" s="23">
        <f t="shared" si="0"/>
        <v>3634.85</v>
      </c>
    </row>
    <row r="67" spans="1:11">
      <c r="A67" s="21">
        <v>42615</v>
      </c>
      <c r="B67" s="24" t="s">
        <v>183</v>
      </c>
      <c r="C67" s="24" t="s">
        <v>184</v>
      </c>
      <c r="D67" s="33" t="s">
        <v>185</v>
      </c>
      <c r="E67" s="20">
        <v>1466.92</v>
      </c>
      <c r="F67" s="20">
        <v>0</v>
      </c>
      <c r="G67" s="20">
        <v>42.86</v>
      </c>
      <c r="H67" s="20">
        <f t="shared" si="1"/>
        <v>1509.78</v>
      </c>
      <c r="I67" s="31" t="s">
        <v>186</v>
      </c>
      <c r="J67" s="23">
        <v>0</v>
      </c>
      <c r="K67" s="23">
        <f t="shared" si="0"/>
        <v>1509.78</v>
      </c>
    </row>
    <row r="68" spans="1:11">
      <c r="A68" s="21">
        <v>42615</v>
      </c>
      <c r="B68" s="24" t="s">
        <v>183</v>
      </c>
      <c r="C68" s="24" t="s">
        <v>184</v>
      </c>
      <c r="D68" s="33" t="s">
        <v>185</v>
      </c>
      <c r="E68" s="20">
        <v>3158.92</v>
      </c>
      <c r="F68" s="20">
        <v>0</v>
      </c>
      <c r="G68" s="20">
        <v>0</v>
      </c>
      <c r="H68" s="20">
        <f t="shared" si="1"/>
        <v>3158.92</v>
      </c>
      <c r="I68" s="31" t="s">
        <v>187</v>
      </c>
      <c r="J68" s="23">
        <v>0</v>
      </c>
      <c r="K68" s="23">
        <f t="shared" si="0"/>
        <v>3158.92</v>
      </c>
    </row>
    <row r="69" spans="1:11">
      <c r="A69" s="21">
        <v>42615</v>
      </c>
      <c r="B69" s="24" t="s">
        <v>264</v>
      </c>
      <c r="C69" s="24" t="s">
        <v>47</v>
      </c>
      <c r="D69" s="33" t="s">
        <v>48</v>
      </c>
      <c r="E69" s="35">
        <v>3571.43</v>
      </c>
      <c r="F69" s="35">
        <v>0</v>
      </c>
      <c r="G69" s="35">
        <v>428.57</v>
      </c>
      <c r="H69" s="20">
        <f t="shared" si="1"/>
        <v>4000</v>
      </c>
      <c r="I69" s="31" t="s">
        <v>188</v>
      </c>
      <c r="J69" s="23">
        <v>0</v>
      </c>
      <c r="K69" s="23">
        <f t="shared" si="0"/>
        <v>4000</v>
      </c>
    </row>
    <row r="70" spans="1:11">
      <c r="A70" s="21">
        <v>42615</v>
      </c>
      <c r="B70" s="24" t="s">
        <v>264</v>
      </c>
      <c r="C70" s="24" t="s">
        <v>47</v>
      </c>
      <c r="D70" s="33" t="s">
        <v>48</v>
      </c>
      <c r="E70" s="35">
        <v>15242.72</v>
      </c>
      <c r="F70" s="35">
        <v>0</v>
      </c>
      <c r="G70" s="35">
        <v>1829.13</v>
      </c>
      <c r="H70" s="20">
        <f t="shared" si="1"/>
        <v>17071.849999999999</v>
      </c>
      <c r="I70" s="31" t="s">
        <v>189</v>
      </c>
      <c r="J70" s="23">
        <v>0</v>
      </c>
      <c r="K70" s="23">
        <f t="shared" si="0"/>
        <v>17071.849999999999</v>
      </c>
    </row>
    <row r="71" spans="1:11">
      <c r="A71" s="21">
        <v>42615</v>
      </c>
      <c r="B71" s="24" t="s">
        <v>264</v>
      </c>
      <c r="C71" s="24" t="s">
        <v>47</v>
      </c>
      <c r="D71" s="33" t="s">
        <v>48</v>
      </c>
      <c r="E71" s="35">
        <v>2498</v>
      </c>
      <c r="F71" s="35">
        <v>0</v>
      </c>
      <c r="G71" s="35">
        <v>150</v>
      </c>
      <c r="H71" s="20">
        <f t="shared" si="1"/>
        <v>2648</v>
      </c>
      <c r="I71" s="31" t="s">
        <v>190</v>
      </c>
      <c r="J71" s="23">
        <v>0</v>
      </c>
      <c r="K71" s="23">
        <f t="shared" si="0"/>
        <v>2648</v>
      </c>
    </row>
    <row r="72" spans="1:11">
      <c r="A72" s="28">
        <v>42621</v>
      </c>
      <c r="B72" s="24" t="s">
        <v>265</v>
      </c>
      <c r="C72" s="24" t="s">
        <v>191</v>
      </c>
      <c r="D72" s="33" t="s">
        <v>192</v>
      </c>
      <c r="E72" s="35">
        <v>6481.94</v>
      </c>
      <c r="F72" s="35">
        <v>0</v>
      </c>
      <c r="G72" s="35">
        <v>0</v>
      </c>
      <c r="H72" s="20">
        <f t="shared" si="1"/>
        <v>6481.94</v>
      </c>
      <c r="I72" s="31" t="s">
        <v>193</v>
      </c>
      <c r="J72" s="23">
        <v>0</v>
      </c>
      <c r="K72" s="23">
        <f t="shared" si="0"/>
        <v>6481.94</v>
      </c>
    </row>
    <row r="73" spans="1:11">
      <c r="A73" s="28">
        <v>42628</v>
      </c>
      <c r="B73" s="45" t="s">
        <v>266</v>
      </c>
      <c r="C73" s="24" t="s">
        <v>194</v>
      </c>
      <c r="D73" s="25" t="s">
        <v>195</v>
      </c>
      <c r="E73" s="35">
        <v>259.2</v>
      </c>
      <c r="F73" s="35">
        <v>0</v>
      </c>
      <c r="G73" s="35">
        <v>0</v>
      </c>
      <c r="H73" s="20">
        <f t="shared" si="1"/>
        <v>259.2</v>
      </c>
      <c r="I73" s="31" t="s">
        <v>196</v>
      </c>
      <c r="J73" s="23">
        <v>0</v>
      </c>
      <c r="K73" s="23">
        <f t="shared" si="0"/>
        <v>259.2</v>
      </c>
    </row>
    <row r="74" spans="1:11">
      <c r="A74" s="28">
        <v>42614</v>
      </c>
      <c r="B74" s="45" t="s">
        <v>267</v>
      </c>
      <c r="C74" s="24" t="s">
        <v>197</v>
      </c>
      <c r="D74" s="25" t="s">
        <v>198</v>
      </c>
      <c r="E74" s="20">
        <v>1395.2</v>
      </c>
      <c r="F74" s="20">
        <v>0</v>
      </c>
      <c r="G74" s="20">
        <v>0</v>
      </c>
      <c r="H74" s="20">
        <f t="shared" si="1"/>
        <v>1395.2</v>
      </c>
      <c r="I74" s="31" t="s">
        <v>199</v>
      </c>
      <c r="J74" s="23">
        <v>0</v>
      </c>
      <c r="K74" s="23">
        <f t="shared" si="0"/>
        <v>1395.2</v>
      </c>
    </row>
    <row r="75" spans="1:11">
      <c r="A75" s="28">
        <v>42619</v>
      </c>
      <c r="B75" s="45" t="s">
        <v>268</v>
      </c>
      <c r="C75" s="24" t="s">
        <v>200</v>
      </c>
      <c r="D75" s="25" t="s">
        <v>201</v>
      </c>
      <c r="E75" s="35">
        <v>2925.1</v>
      </c>
      <c r="F75" s="35">
        <v>0</v>
      </c>
      <c r="G75" s="35">
        <v>0</v>
      </c>
      <c r="H75" s="20">
        <f t="shared" si="1"/>
        <v>2925.1</v>
      </c>
      <c r="I75" s="31" t="s">
        <v>202</v>
      </c>
      <c r="J75" s="23">
        <v>0</v>
      </c>
      <c r="K75" s="23">
        <f t="shared" si="0"/>
        <v>2925.1</v>
      </c>
    </row>
    <row r="76" spans="1:11">
      <c r="A76" s="28">
        <v>42621</v>
      </c>
      <c r="B76" s="49" t="s">
        <v>269</v>
      </c>
      <c r="C76" s="30" t="s">
        <v>203</v>
      </c>
      <c r="D76" s="25" t="s">
        <v>204</v>
      </c>
      <c r="E76" s="35">
        <v>1292.92</v>
      </c>
      <c r="F76" s="35">
        <v>0</v>
      </c>
      <c r="G76" s="35">
        <v>0</v>
      </c>
      <c r="H76" s="20">
        <f t="shared" si="1"/>
        <v>1292.92</v>
      </c>
      <c r="I76" s="31" t="s">
        <v>205</v>
      </c>
      <c r="J76" s="23">
        <v>0</v>
      </c>
      <c r="K76" s="23">
        <f t="shared" si="0"/>
        <v>1292.92</v>
      </c>
    </row>
    <row r="77" spans="1:11">
      <c r="A77" s="28">
        <v>42626</v>
      </c>
      <c r="B77" s="49" t="s">
        <v>270</v>
      </c>
      <c r="C77" s="30" t="s">
        <v>206</v>
      </c>
      <c r="D77" s="25" t="s">
        <v>207</v>
      </c>
      <c r="E77" s="35">
        <v>4805.38</v>
      </c>
      <c r="F77" s="35">
        <v>0</v>
      </c>
      <c r="G77" s="35">
        <v>0</v>
      </c>
      <c r="H77" s="20">
        <f t="shared" si="1"/>
        <v>4805.38</v>
      </c>
      <c r="I77" s="31" t="s">
        <v>208</v>
      </c>
      <c r="J77" s="23">
        <v>0</v>
      </c>
      <c r="K77" s="23">
        <f t="shared" ref="K77:K101" si="2">E77+G77</f>
        <v>4805.38</v>
      </c>
    </row>
    <row r="78" spans="1:11">
      <c r="A78" s="28">
        <v>42632</v>
      </c>
      <c r="B78" s="49" t="s">
        <v>49</v>
      </c>
      <c r="C78" s="30" t="s">
        <v>50</v>
      </c>
      <c r="D78" s="25" t="s">
        <v>251</v>
      </c>
      <c r="E78" s="35">
        <v>1607.25</v>
      </c>
      <c r="F78" s="35">
        <v>0</v>
      </c>
      <c r="G78" s="35">
        <v>0</v>
      </c>
      <c r="H78" s="20">
        <f t="shared" ref="H78:H101" si="3">E78+G78</f>
        <v>1607.25</v>
      </c>
      <c r="I78" s="31" t="s">
        <v>209</v>
      </c>
      <c r="J78" s="23">
        <v>0</v>
      </c>
      <c r="K78" s="23">
        <f t="shared" si="2"/>
        <v>1607.25</v>
      </c>
    </row>
    <row r="79" spans="1:11">
      <c r="A79" s="28">
        <v>42615</v>
      </c>
      <c r="B79" s="49" t="s">
        <v>210</v>
      </c>
      <c r="C79" s="30" t="s">
        <v>211</v>
      </c>
      <c r="D79" s="25" t="s">
        <v>212</v>
      </c>
      <c r="E79" s="35">
        <v>1884</v>
      </c>
      <c r="F79" s="35">
        <v>0</v>
      </c>
      <c r="G79" s="35">
        <v>0</v>
      </c>
      <c r="H79" s="20">
        <f t="shared" si="3"/>
        <v>1884</v>
      </c>
      <c r="I79" s="31" t="s">
        <v>213</v>
      </c>
      <c r="J79" s="23">
        <v>0</v>
      </c>
      <c r="K79" s="23">
        <f t="shared" si="2"/>
        <v>1884</v>
      </c>
    </row>
    <row r="80" spans="1:11">
      <c r="A80" s="28">
        <v>42615</v>
      </c>
      <c r="B80" s="49" t="s">
        <v>210</v>
      </c>
      <c r="C80" s="30" t="s">
        <v>211</v>
      </c>
      <c r="D80" s="25" t="s">
        <v>212</v>
      </c>
      <c r="E80" s="20">
        <v>2140.84</v>
      </c>
      <c r="F80" s="20">
        <v>0</v>
      </c>
      <c r="G80" s="20">
        <v>0</v>
      </c>
      <c r="H80" s="20">
        <f t="shared" si="3"/>
        <v>2140.84</v>
      </c>
      <c r="I80" s="31" t="s">
        <v>214</v>
      </c>
      <c r="J80" s="23">
        <v>0</v>
      </c>
      <c r="K80" s="23">
        <f t="shared" si="2"/>
        <v>2140.84</v>
      </c>
    </row>
    <row r="81" spans="1:12">
      <c r="A81" s="28">
        <v>42615</v>
      </c>
      <c r="B81" s="49" t="s">
        <v>210</v>
      </c>
      <c r="C81" s="30" t="s">
        <v>211</v>
      </c>
      <c r="D81" s="25" t="s">
        <v>212</v>
      </c>
      <c r="E81" s="20">
        <v>2004.79</v>
      </c>
      <c r="F81" s="20">
        <v>0</v>
      </c>
      <c r="G81" s="20">
        <v>0</v>
      </c>
      <c r="H81" s="20">
        <f t="shared" si="3"/>
        <v>2004.79</v>
      </c>
      <c r="I81" s="31" t="s">
        <v>215</v>
      </c>
      <c r="J81" s="23">
        <v>0</v>
      </c>
      <c r="K81" s="23">
        <f t="shared" si="2"/>
        <v>2004.79</v>
      </c>
    </row>
    <row r="82" spans="1:12">
      <c r="A82" s="28">
        <v>42629</v>
      </c>
      <c r="B82" s="49" t="s">
        <v>210</v>
      </c>
      <c r="C82" s="30" t="s">
        <v>211</v>
      </c>
      <c r="D82" s="25" t="s">
        <v>212</v>
      </c>
      <c r="E82" s="20">
        <v>3468.91</v>
      </c>
      <c r="F82" s="20">
        <v>0</v>
      </c>
      <c r="G82" s="20">
        <v>0</v>
      </c>
      <c r="H82" s="20">
        <f t="shared" si="3"/>
        <v>3468.91</v>
      </c>
      <c r="I82" s="31" t="s">
        <v>216</v>
      </c>
      <c r="J82" s="23">
        <v>0</v>
      </c>
      <c r="K82" s="23">
        <f t="shared" si="2"/>
        <v>3468.91</v>
      </c>
    </row>
    <row r="83" spans="1:12">
      <c r="A83" s="28">
        <v>42620</v>
      </c>
      <c r="B83" s="30" t="s">
        <v>271</v>
      </c>
      <c r="C83" s="30" t="s">
        <v>54</v>
      </c>
      <c r="D83" s="33" t="s">
        <v>55</v>
      </c>
      <c r="E83" s="20">
        <v>1399.76</v>
      </c>
      <c r="F83" s="20">
        <v>0</v>
      </c>
      <c r="G83" s="20">
        <v>95.28</v>
      </c>
      <c r="H83" s="20">
        <f t="shared" si="3"/>
        <v>1495.04</v>
      </c>
      <c r="I83" s="31" t="s">
        <v>217</v>
      </c>
      <c r="J83" s="23">
        <v>0</v>
      </c>
      <c r="K83" s="23">
        <f t="shared" si="2"/>
        <v>1495.04</v>
      </c>
    </row>
    <row r="84" spans="1:12">
      <c r="A84" s="28" t="s">
        <v>218</v>
      </c>
      <c r="B84" s="30" t="s">
        <v>271</v>
      </c>
      <c r="C84" s="30" t="s">
        <v>54</v>
      </c>
      <c r="D84" s="33" t="s">
        <v>55</v>
      </c>
      <c r="E84" s="20">
        <v>1990.56</v>
      </c>
      <c r="F84" s="20">
        <v>0</v>
      </c>
      <c r="G84" s="20">
        <v>0</v>
      </c>
      <c r="H84" s="20">
        <f t="shared" si="3"/>
        <v>1990.56</v>
      </c>
      <c r="I84" s="31" t="s">
        <v>219</v>
      </c>
      <c r="J84" s="23">
        <v>0</v>
      </c>
      <c r="K84" s="23">
        <f t="shared" si="2"/>
        <v>1990.56</v>
      </c>
    </row>
    <row r="85" spans="1:12">
      <c r="A85" s="28">
        <v>42615</v>
      </c>
      <c r="B85" s="30" t="s">
        <v>51</v>
      </c>
      <c r="C85" s="30" t="s">
        <v>52</v>
      </c>
      <c r="D85" s="33" t="s">
        <v>53</v>
      </c>
      <c r="E85" s="20">
        <v>2207.02</v>
      </c>
      <c r="F85" s="20">
        <v>0</v>
      </c>
      <c r="G85" s="20">
        <v>197.64</v>
      </c>
      <c r="H85" s="20">
        <f t="shared" si="3"/>
        <v>2404.66</v>
      </c>
      <c r="I85" s="31" t="s">
        <v>220</v>
      </c>
      <c r="J85" s="23">
        <v>0</v>
      </c>
      <c r="K85" s="23">
        <f t="shared" si="2"/>
        <v>2404.66</v>
      </c>
    </row>
    <row r="86" spans="1:12">
      <c r="A86" s="28">
        <v>42615</v>
      </c>
      <c r="B86" s="30" t="s">
        <v>51</v>
      </c>
      <c r="C86" s="30" t="s">
        <v>52</v>
      </c>
      <c r="D86" s="33" t="s">
        <v>53</v>
      </c>
      <c r="E86" s="20">
        <v>3497.4</v>
      </c>
      <c r="F86" s="20">
        <v>0</v>
      </c>
      <c r="G86" s="20">
        <v>419.68</v>
      </c>
      <c r="H86" s="20">
        <f t="shared" si="3"/>
        <v>3917.08</v>
      </c>
      <c r="I86" s="31" t="s">
        <v>221</v>
      </c>
      <c r="J86" s="23">
        <v>0</v>
      </c>
      <c r="K86" s="23">
        <f t="shared" si="2"/>
        <v>3917.08</v>
      </c>
    </row>
    <row r="87" spans="1:12">
      <c r="A87" s="28">
        <v>42614</v>
      </c>
      <c r="B87" s="30" t="s">
        <v>272</v>
      </c>
      <c r="C87" s="30" t="s">
        <v>56</v>
      </c>
      <c r="D87" s="33" t="s">
        <v>57</v>
      </c>
      <c r="E87" s="20">
        <v>1416</v>
      </c>
      <c r="F87" s="20">
        <v>0</v>
      </c>
      <c r="G87" s="20">
        <v>0</v>
      </c>
      <c r="H87" s="20">
        <f t="shared" si="3"/>
        <v>1416</v>
      </c>
      <c r="I87" s="31" t="s">
        <v>222</v>
      </c>
      <c r="J87" s="23">
        <v>0</v>
      </c>
      <c r="K87" s="23">
        <f t="shared" si="2"/>
        <v>1416</v>
      </c>
    </row>
    <row r="88" spans="1:12">
      <c r="A88" s="28">
        <v>42620</v>
      </c>
      <c r="B88" s="30" t="s">
        <v>273</v>
      </c>
      <c r="C88" s="30" t="s">
        <v>223</v>
      </c>
      <c r="D88" s="33" t="s">
        <v>224</v>
      </c>
      <c r="E88" s="20">
        <v>2326</v>
      </c>
      <c r="F88" s="20">
        <v>0</v>
      </c>
      <c r="G88" s="20">
        <v>0</v>
      </c>
      <c r="H88" s="20">
        <f t="shared" si="3"/>
        <v>2326</v>
      </c>
      <c r="I88" s="31" t="s">
        <v>225</v>
      </c>
      <c r="J88" s="23">
        <v>0</v>
      </c>
      <c r="K88" s="23">
        <f t="shared" si="2"/>
        <v>2326</v>
      </c>
      <c r="L88" s="29"/>
    </row>
    <row r="89" spans="1:12">
      <c r="A89" s="28">
        <v>42629</v>
      </c>
      <c r="B89" s="30" t="s">
        <v>274</v>
      </c>
      <c r="C89" s="30" t="s">
        <v>64</v>
      </c>
      <c r="D89" s="33" t="s">
        <v>65</v>
      </c>
      <c r="E89" s="20">
        <v>2392.91</v>
      </c>
      <c r="F89" s="20">
        <v>0</v>
      </c>
      <c r="G89" s="20">
        <v>0</v>
      </c>
      <c r="H89" s="20">
        <f t="shared" si="3"/>
        <v>2392.91</v>
      </c>
      <c r="I89" s="31" t="s">
        <v>226</v>
      </c>
      <c r="J89" s="23">
        <v>0</v>
      </c>
      <c r="K89" s="23">
        <f t="shared" si="2"/>
        <v>2392.91</v>
      </c>
      <c r="L89" s="43"/>
    </row>
    <row r="90" spans="1:12">
      <c r="A90" s="28">
        <v>42629</v>
      </c>
      <c r="B90" s="30" t="s">
        <v>274</v>
      </c>
      <c r="C90" s="30" t="s">
        <v>64</v>
      </c>
      <c r="D90" s="33" t="s">
        <v>65</v>
      </c>
      <c r="E90" s="20">
        <v>2048</v>
      </c>
      <c r="F90" s="20">
        <v>0</v>
      </c>
      <c r="G90" s="20">
        <v>0</v>
      </c>
      <c r="H90" s="20">
        <f t="shared" si="3"/>
        <v>2048</v>
      </c>
      <c r="I90" s="31" t="s">
        <v>227</v>
      </c>
      <c r="J90" s="23">
        <v>0</v>
      </c>
      <c r="K90" s="23">
        <f t="shared" si="2"/>
        <v>2048</v>
      </c>
      <c r="L90" s="43"/>
    </row>
    <row r="91" spans="1:12">
      <c r="A91" s="28">
        <v>42625</v>
      </c>
      <c r="B91" s="30" t="s">
        <v>228</v>
      </c>
      <c r="C91" s="30" t="s">
        <v>229</v>
      </c>
      <c r="D91" s="33" t="s">
        <v>230</v>
      </c>
      <c r="E91" s="20">
        <v>4084.67</v>
      </c>
      <c r="F91" s="20">
        <v>0</v>
      </c>
      <c r="G91" s="20">
        <v>0</v>
      </c>
      <c r="H91" s="20">
        <f t="shared" si="3"/>
        <v>4084.67</v>
      </c>
      <c r="I91" s="31" t="s">
        <v>231</v>
      </c>
      <c r="J91" s="23">
        <v>0</v>
      </c>
      <c r="K91" s="23">
        <f t="shared" si="2"/>
        <v>4084.67</v>
      </c>
      <c r="L91" s="43"/>
    </row>
    <row r="92" spans="1:12">
      <c r="A92" s="28">
        <v>42621</v>
      </c>
      <c r="B92" s="30" t="s">
        <v>232</v>
      </c>
      <c r="C92" s="30" t="s">
        <v>233</v>
      </c>
      <c r="D92" s="33" t="s">
        <v>234</v>
      </c>
      <c r="E92" s="20">
        <v>3552.91</v>
      </c>
      <c r="F92" s="20">
        <v>0</v>
      </c>
      <c r="G92" s="20">
        <v>0</v>
      </c>
      <c r="H92" s="20">
        <f t="shared" si="3"/>
        <v>3552.91</v>
      </c>
      <c r="I92" s="31" t="s">
        <v>235</v>
      </c>
      <c r="J92" s="23">
        <v>0</v>
      </c>
      <c r="K92" s="23">
        <f t="shared" si="2"/>
        <v>3552.91</v>
      </c>
      <c r="L92" s="43"/>
    </row>
    <row r="93" spans="1:12">
      <c r="A93" s="28">
        <v>42615</v>
      </c>
      <c r="B93" s="30" t="s">
        <v>60</v>
      </c>
      <c r="C93" s="30" t="s">
        <v>61</v>
      </c>
      <c r="D93" s="33" t="s">
        <v>236</v>
      </c>
      <c r="E93" s="20">
        <v>5514.59</v>
      </c>
      <c r="F93" s="20">
        <v>0</v>
      </c>
      <c r="G93" s="20">
        <v>48.95</v>
      </c>
      <c r="H93" s="20">
        <f t="shared" si="3"/>
        <v>5563.54</v>
      </c>
      <c r="I93" s="31" t="s">
        <v>237</v>
      </c>
      <c r="J93" s="23">
        <v>0</v>
      </c>
      <c r="K93" s="23">
        <f t="shared" si="2"/>
        <v>5563.54</v>
      </c>
      <c r="L93" s="43"/>
    </row>
    <row r="94" spans="1:12">
      <c r="A94" s="28">
        <v>42615</v>
      </c>
      <c r="B94" s="30" t="s">
        <v>60</v>
      </c>
      <c r="C94" s="30" t="s">
        <v>61</v>
      </c>
      <c r="D94" s="33" t="s">
        <v>236</v>
      </c>
      <c r="E94" s="20">
        <v>1424.56</v>
      </c>
      <c r="F94" s="20">
        <v>0</v>
      </c>
      <c r="G94" s="20">
        <v>35.36</v>
      </c>
      <c r="H94" s="20">
        <f t="shared" si="3"/>
        <v>1459.9199999999998</v>
      </c>
      <c r="I94" s="31" t="s">
        <v>238</v>
      </c>
      <c r="J94" s="23">
        <v>0</v>
      </c>
      <c r="K94" s="23">
        <f t="shared" si="2"/>
        <v>1459.9199999999998</v>
      </c>
      <c r="L94" s="47"/>
    </row>
    <row r="95" spans="1:12">
      <c r="A95" s="50">
        <v>42621</v>
      </c>
      <c r="B95" s="30" t="s">
        <v>60</v>
      </c>
      <c r="C95" s="30" t="s">
        <v>61</v>
      </c>
      <c r="D95" s="33" t="s">
        <v>236</v>
      </c>
      <c r="E95" s="51">
        <v>4251.17</v>
      </c>
      <c r="F95" s="51">
        <v>0</v>
      </c>
      <c r="G95" s="51">
        <v>0</v>
      </c>
      <c r="H95" s="20">
        <f t="shared" si="3"/>
        <v>4251.17</v>
      </c>
      <c r="I95" s="52" t="s">
        <v>239</v>
      </c>
      <c r="J95" s="53">
        <v>0</v>
      </c>
      <c r="K95" s="23">
        <f t="shared" si="2"/>
        <v>4251.17</v>
      </c>
      <c r="L95" s="48"/>
    </row>
    <row r="96" spans="1:12">
      <c r="A96" s="28">
        <v>42618</v>
      </c>
      <c r="B96" s="30" t="s">
        <v>240</v>
      </c>
      <c r="C96" s="30" t="s">
        <v>241</v>
      </c>
      <c r="D96" s="33" t="s">
        <v>242</v>
      </c>
      <c r="E96" s="20">
        <v>693.55</v>
      </c>
      <c r="F96" s="20">
        <v>0</v>
      </c>
      <c r="G96" s="20">
        <v>0</v>
      </c>
      <c r="H96" s="20">
        <f t="shared" si="3"/>
        <v>693.55</v>
      </c>
      <c r="I96" s="31" t="s">
        <v>243</v>
      </c>
      <c r="J96" s="23">
        <v>0</v>
      </c>
      <c r="K96" s="23">
        <f t="shared" si="2"/>
        <v>693.55</v>
      </c>
      <c r="L96" s="43"/>
    </row>
    <row r="97" spans="1:20">
      <c r="A97" s="28">
        <v>42618</v>
      </c>
      <c r="B97" s="30" t="s">
        <v>240</v>
      </c>
      <c r="C97" s="30" t="s">
        <v>241</v>
      </c>
      <c r="D97" s="33" t="s">
        <v>242</v>
      </c>
      <c r="E97" s="20">
        <v>4690.67</v>
      </c>
      <c r="F97" s="20">
        <v>0</v>
      </c>
      <c r="G97" s="20">
        <v>0</v>
      </c>
      <c r="H97" s="20">
        <f t="shared" si="3"/>
        <v>4690.67</v>
      </c>
      <c r="I97" s="31" t="s">
        <v>244</v>
      </c>
      <c r="J97" s="23">
        <v>0</v>
      </c>
      <c r="K97" s="23">
        <f t="shared" si="2"/>
        <v>4690.67</v>
      </c>
      <c r="L97" s="43"/>
    </row>
    <row r="98" spans="1:20">
      <c r="A98" s="28">
        <v>42618</v>
      </c>
      <c r="B98" s="30" t="s">
        <v>240</v>
      </c>
      <c r="C98" s="30" t="s">
        <v>241</v>
      </c>
      <c r="D98" s="33" t="s">
        <v>242</v>
      </c>
      <c r="E98" s="20">
        <v>3388.8</v>
      </c>
      <c r="F98" s="20">
        <v>0</v>
      </c>
      <c r="G98" s="20">
        <v>190.07</v>
      </c>
      <c r="H98" s="20">
        <f t="shared" si="3"/>
        <v>3578.8700000000003</v>
      </c>
      <c r="I98" s="31" t="s">
        <v>245</v>
      </c>
      <c r="J98" s="23">
        <v>0</v>
      </c>
      <c r="K98" s="23">
        <f t="shared" si="2"/>
        <v>3578.8700000000003</v>
      </c>
      <c r="L98" s="43"/>
    </row>
    <row r="99" spans="1:20">
      <c r="A99" s="28">
        <v>42620</v>
      </c>
      <c r="B99" s="30" t="s">
        <v>240</v>
      </c>
      <c r="C99" s="30" t="s">
        <v>241</v>
      </c>
      <c r="D99" s="33" t="s">
        <v>242</v>
      </c>
      <c r="E99" s="20">
        <v>1804.32</v>
      </c>
      <c r="F99" s="20">
        <v>0</v>
      </c>
      <c r="G99" s="20">
        <v>215.52</v>
      </c>
      <c r="H99" s="20">
        <f t="shared" si="3"/>
        <v>2019.84</v>
      </c>
      <c r="I99" s="31" t="s">
        <v>246</v>
      </c>
      <c r="J99" s="23">
        <v>0</v>
      </c>
      <c r="K99" s="23">
        <f t="shared" si="2"/>
        <v>2019.84</v>
      </c>
      <c r="L99" s="43"/>
    </row>
    <row r="100" spans="1:20">
      <c r="A100" s="28">
        <v>42614</v>
      </c>
      <c r="B100" s="30" t="s">
        <v>275</v>
      </c>
      <c r="C100" s="30" t="s">
        <v>247</v>
      </c>
      <c r="D100" s="33" t="s">
        <v>248</v>
      </c>
      <c r="E100" s="20">
        <v>2407.89</v>
      </c>
      <c r="F100" s="20">
        <v>0</v>
      </c>
      <c r="G100" s="20">
        <v>190.07</v>
      </c>
      <c r="H100" s="20">
        <f t="shared" si="3"/>
        <v>2597.96</v>
      </c>
      <c r="I100" s="31" t="s">
        <v>249</v>
      </c>
      <c r="J100" s="23">
        <v>0</v>
      </c>
      <c r="K100" s="23">
        <f t="shared" si="2"/>
        <v>2597.96</v>
      </c>
      <c r="L100" s="48"/>
    </row>
    <row r="101" spans="1:20">
      <c r="A101" s="28">
        <v>42622</v>
      </c>
      <c r="B101" s="30" t="s">
        <v>276</v>
      </c>
      <c r="C101" s="30" t="s">
        <v>62</v>
      </c>
      <c r="D101" s="33" t="s">
        <v>63</v>
      </c>
      <c r="E101" s="20">
        <v>7776</v>
      </c>
      <c r="F101" s="20">
        <v>0</v>
      </c>
      <c r="G101" s="20">
        <v>0</v>
      </c>
      <c r="H101" s="20">
        <f t="shared" si="3"/>
        <v>7776</v>
      </c>
      <c r="I101" s="31" t="s">
        <v>250</v>
      </c>
      <c r="J101" s="23">
        <v>0</v>
      </c>
      <c r="K101" s="23">
        <f t="shared" si="2"/>
        <v>7776</v>
      </c>
      <c r="L101" s="43"/>
    </row>
    <row r="102" spans="1:20">
      <c r="A102" s="67"/>
      <c r="B102" s="67"/>
      <c r="C102" s="67"/>
      <c r="D102" s="67"/>
      <c r="E102" s="44">
        <f>SUM(E11:E101)</f>
        <v>261715.0800000001</v>
      </c>
      <c r="F102" s="44">
        <f>SUM(F11:F101)</f>
        <v>0</v>
      </c>
      <c r="G102" s="44">
        <f>SUM(G11:G101)</f>
        <v>7976.9899999999989</v>
      </c>
      <c r="H102" s="44">
        <f>SUM(H11:H101)</f>
        <v>269692.07000000007</v>
      </c>
      <c r="I102" s="44"/>
      <c r="J102" s="44">
        <f>SUM(J11:J101)</f>
        <v>0</v>
      </c>
      <c r="K102" s="44">
        <f>SUM(K11:K101)</f>
        <v>269692.07000000007</v>
      </c>
      <c r="M102" s="9"/>
      <c r="O102" s="17"/>
      <c r="P102" s="18"/>
      <c r="Q102" s="18"/>
      <c r="R102" s="18"/>
      <c r="S102" s="18"/>
      <c r="T102" s="19"/>
    </row>
    <row r="103" spans="1:20">
      <c r="A103" s="1"/>
      <c r="B103" s="15"/>
      <c r="C103" s="1"/>
      <c r="D103" s="1"/>
      <c r="E103" s="6"/>
      <c r="F103" s="4"/>
      <c r="G103" s="4"/>
      <c r="H103" s="7"/>
      <c r="I103" s="26"/>
      <c r="J103" s="8"/>
      <c r="K103" s="3"/>
      <c r="O103" s="17"/>
      <c r="P103" s="18"/>
      <c r="Q103" s="18"/>
      <c r="R103" s="18"/>
      <c r="S103" s="18"/>
      <c r="T103" s="19"/>
    </row>
    <row r="104" spans="1:20">
      <c r="A104" s="2"/>
      <c r="B104" s="68" t="s">
        <v>13</v>
      </c>
      <c r="C104" s="69"/>
      <c r="D104" s="70"/>
      <c r="E104" s="71" t="s">
        <v>14</v>
      </c>
      <c r="F104" s="71"/>
      <c r="G104" s="71"/>
      <c r="H104" s="71"/>
      <c r="I104" s="71"/>
      <c r="J104" s="72"/>
      <c r="K104" s="5"/>
    </row>
    <row r="105" spans="1:20">
      <c r="A105" s="2"/>
      <c r="B105" s="73"/>
      <c r="C105" s="74"/>
      <c r="D105" s="75"/>
      <c r="E105" s="79"/>
      <c r="F105" s="80"/>
      <c r="G105" s="80"/>
      <c r="H105" s="80"/>
      <c r="I105" s="80"/>
      <c r="J105" s="81"/>
      <c r="K105" s="5"/>
    </row>
    <row r="106" spans="1:20">
      <c r="A106" s="1"/>
      <c r="B106" s="76"/>
      <c r="C106" s="77"/>
      <c r="D106" s="78"/>
      <c r="E106" s="82"/>
      <c r="F106" s="83"/>
      <c r="G106" s="83"/>
      <c r="H106" s="83"/>
      <c r="I106" s="83"/>
      <c r="J106" s="84"/>
      <c r="K106" s="1"/>
    </row>
    <row r="107" spans="1:20">
      <c r="A107" s="1"/>
      <c r="B107" s="61" t="s">
        <v>67</v>
      </c>
      <c r="C107" s="62"/>
      <c r="D107" s="63"/>
      <c r="E107" s="64" t="s">
        <v>15</v>
      </c>
      <c r="F107" s="65"/>
      <c r="G107" s="65"/>
      <c r="H107" s="65"/>
      <c r="I107" s="65"/>
      <c r="J107" s="66"/>
      <c r="K107" s="1"/>
    </row>
    <row r="108" spans="1:20">
      <c r="M108" s="9"/>
    </row>
  </sheetData>
  <sortState ref="D8:L75">
    <sortCondition ref="D8"/>
  </sortState>
  <mergeCells count="13">
    <mergeCell ref="B107:D107"/>
    <mergeCell ref="E107:J107"/>
    <mergeCell ref="A102:D102"/>
    <mergeCell ref="B104:D104"/>
    <mergeCell ref="E104:J104"/>
    <mergeCell ref="B105:D106"/>
    <mergeCell ref="E105:J106"/>
    <mergeCell ref="A9:K9"/>
    <mergeCell ref="A1:K1"/>
    <mergeCell ref="A2:K2"/>
    <mergeCell ref="A3:K3"/>
    <mergeCell ref="A7:K7"/>
    <mergeCell ref="A8:K8"/>
  </mergeCells>
  <printOptions horizontalCentered="1"/>
  <pageMargins left="0.25" right="0.25" top="0.75" bottom="0.75" header="0.3" footer="0.3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Hoja1</vt:lpstr>
    </vt:vector>
  </TitlesOfParts>
  <Company>farmacia universidad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ana vasquez</cp:lastModifiedBy>
  <cp:lastPrinted>2016-09-20T18:10:45Z</cp:lastPrinted>
  <dcterms:created xsi:type="dcterms:W3CDTF">2011-11-14T15:12:23Z</dcterms:created>
  <dcterms:modified xsi:type="dcterms:W3CDTF">2016-09-22T15:28:44Z</dcterms:modified>
</cp:coreProperties>
</file>